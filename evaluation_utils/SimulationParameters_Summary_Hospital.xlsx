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juedujo-my.sharepoint.com/personal/samira_khraiwesh_gju_edu_jo/Documents/Desktop/PhD Progress -Submissions/Dougakn/Data Qaulity for BPS/Output/"/>
    </mc:Choice>
  </mc:AlternateContent>
  <xr:revisionPtr revIDLastSave="134" documentId="11_82976E015242DE7F6245EC574A5DCE3AC74F0BF9" xr6:coauthVersionLast="47" xr6:coauthVersionMax="47" xr10:uidLastSave="{05191555-F340-4E91-A268-4EFB562B3241}"/>
  <bookViews>
    <workbookView xWindow="43300" yWindow="4900" windowWidth="28800" windowHeight="15290" xr2:uid="{00000000-000D-0000-FFFF-FFFF00000000}"/>
  </bookViews>
  <sheets>
    <sheet name="Simulation Parameters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" l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" i="1" a="1"/>
  <c r="U3" i="1" s="1"/>
  <c r="O4" i="1" a="1"/>
  <c r="O4" i="1" s="1"/>
  <c r="O5" i="1" a="1"/>
  <c r="O5" i="1" s="1"/>
  <c r="O6" i="1" a="1"/>
  <c r="O6" i="1" s="1"/>
  <c r="O7" i="1" a="1"/>
  <c r="O7" i="1" s="1"/>
  <c r="O8" i="1" a="1"/>
  <c r="O8" i="1" s="1"/>
  <c r="O9" i="1" a="1"/>
  <c r="O9" i="1"/>
  <c r="O10" i="1" a="1"/>
  <c r="O10" i="1"/>
  <c r="O11" i="1" a="1"/>
  <c r="O11" i="1"/>
  <c r="O12" i="1" a="1"/>
  <c r="O12" i="1" s="1"/>
  <c r="O13" i="1" a="1"/>
  <c r="O13" i="1"/>
  <c r="O14" i="1" a="1"/>
  <c r="O14" i="1"/>
  <c r="O15" i="1" a="1"/>
  <c r="O15" i="1"/>
  <c r="O16" i="1" a="1"/>
  <c r="O16" i="1" s="1"/>
  <c r="O17" i="1" a="1"/>
  <c r="O17" i="1" s="1"/>
  <c r="O18" i="1" a="1"/>
  <c r="O18" i="1"/>
  <c r="O19" i="1" a="1"/>
  <c r="O19" i="1"/>
  <c r="O20" i="1" a="1"/>
  <c r="O20" i="1" s="1"/>
  <c r="O21" i="1" a="1"/>
  <c r="O21" i="1"/>
  <c r="O22" i="1" a="1"/>
  <c r="O22" i="1"/>
  <c r="O23" i="1" a="1"/>
  <c r="O23" i="1"/>
  <c r="O24" i="1" a="1"/>
  <c r="O24" i="1" s="1"/>
  <c r="O25" i="1" a="1"/>
  <c r="O25" i="1"/>
  <c r="O26" i="1" a="1"/>
  <c r="O26" i="1" s="1"/>
  <c r="O27" i="1" a="1"/>
  <c r="O27" i="1"/>
  <c r="O28" i="1" a="1"/>
  <c r="O28" i="1" s="1"/>
  <c r="O29" i="1" a="1"/>
  <c r="O29" i="1"/>
  <c r="O30" i="1" a="1"/>
  <c r="O30" i="1"/>
  <c r="O31" i="1" a="1"/>
  <c r="O31" i="1"/>
  <c r="O32" i="1" a="1"/>
  <c r="O32" i="1" s="1"/>
  <c r="O33" i="1" a="1"/>
  <c r="O33" i="1"/>
  <c r="O34" i="1" a="1"/>
  <c r="O34" i="1"/>
  <c r="O35" i="1" a="1"/>
  <c r="O35" i="1" s="1"/>
  <c r="O36" i="1" a="1"/>
  <c r="O36" i="1" s="1"/>
  <c r="O3" i="1" a="1"/>
  <c r="O3" i="1" s="1"/>
  <c r="J4" i="1" a="1"/>
  <c r="J4" i="1" s="1"/>
  <c r="J5" i="1" a="1"/>
  <c r="J5" i="1" s="1"/>
  <c r="J6" i="1" a="1"/>
  <c r="J6" i="1" s="1"/>
  <c r="J7" i="1" a="1"/>
  <c r="J7" i="1"/>
  <c r="J8" i="1" a="1"/>
  <c r="J8" i="1" s="1"/>
  <c r="J9" i="1" a="1"/>
  <c r="J9" i="1" s="1"/>
  <c r="J10" i="1" a="1"/>
  <c r="J10" i="1"/>
  <c r="J11" i="1" a="1"/>
  <c r="J11" i="1"/>
  <c r="J12" i="1" a="1"/>
  <c r="J12" i="1" s="1"/>
  <c r="J13" i="1" a="1"/>
  <c r="J13" i="1" s="1"/>
  <c r="J14" i="1" a="1"/>
  <c r="J14" i="1"/>
  <c r="J15" i="1" a="1"/>
  <c r="J15" i="1"/>
  <c r="J16" i="1" a="1"/>
  <c r="J16" i="1" s="1"/>
  <c r="J17" i="1" a="1"/>
  <c r="J17" i="1" s="1"/>
  <c r="J18" i="1" a="1"/>
  <c r="J18" i="1"/>
  <c r="J19" i="1" a="1"/>
  <c r="J19" i="1"/>
  <c r="J20" i="1" a="1"/>
  <c r="J20" i="1" s="1"/>
  <c r="J21" i="1" a="1"/>
  <c r="J21" i="1" s="1"/>
  <c r="J22" i="1" a="1"/>
  <c r="J22" i="1"/>
  <c r="J23" i="1" a="1"/>
  <c r="J23" i="1"/>
  <c r="J24" i="1" a="1"/>
  <c r="J24" i="1" s="1"/>
  <c r="J25" i="1" a="1"/>
  <c r="J25" i="1" s="1"/>
  <c r="J26" i="1" a="1"/>
  <c r="J26" i="1"/>
  <c r="J27" i="1" a="1"/>
  <c r="J27" i="1"/>
  <c r="J28" i="1" a="1"/>
  <c r="J28" i="1" s="1"/>
  <c r="J29" i="1" a="1"/>
  <c r="J29" i="1" s="1"/>
  <c r="J30" i="1" a="1"/>
  <c r="J30" i="1"/>
  <c r="J31" i="1" a="1"/>
  <c r="J31" i="1"/>
  <c r="J32" i="1" a="1"/>
  <c r="J32" i="1" s="1"/>
  <c r="J33" i="1" a="1"/>
  <c r="J33" i="1" s="1"/>
  <c r="J34" i="1" a="1"/>
  <c r="J34" i="1"/>
  <c r="J35" i="1" a="1"/>
  <c r="J35" i="1"/>
  <c r="J36" i="1" a="1"/>
  <c r="J36" i="1" s="1"/>
  <c r="J3" i="1" a="1"/>
  <c r="J3" i="1" s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 s="1"/>
  <c r="E23" i="1" a="1"/>
  <c r="E23" i="1"/>
  <c r="E24" i="1" a="1"/>
  <c r="E24" i="1"/>
  <c r="E25" i="1" a="1"/>
  <c r="E25" i="1"/>
  <c r="E26" i="1" a="1"/>
  <c r="E26" i="1" s="1"/>
  <c r="E27" i="1" a="1"/>
  <c r="E27" i="1"/>
  <c r="E28" i="1" a="1"/>
  <c r="E28" i="1"/>
  <c r="E29" i="1" a="1"/>
  <c r="E29" i="1"/>
  <c r="E30" i="1" a="1"/>
  <c r="E30" i="1" s="1"/>
  <c r="E31" i="1" a="1"/>
  <c r="E31" i="1"/>
  <c r="E32" i="1" a="1"/>
  <c r="E32" i="1"/>
  <c r="E33" i="1" a="1"/>
  <c r="E33" i="1"/>
  <c r="E34" i="1" a="1"/>
  <c r="E34" i="1" s="1"/>
  <c r="E35" i="1" a="1"/>
  <c r="E35" i="1"/>
  <c r="E36" i="1" a="1"/>
  <c r="E36" i="1"/>
  <c r="E3" i="1" a="1"/>
  <c r="E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<sst xmlns="http://schemas.openxmlformats.org/spreadsheetml/2006/main" count="610" uniqueCount="198">
  <si>
    <t>Dataset</t>
  </si>
  <si>
    <t>Activity Duration</t>
  </si>
  <si>
    <t>Inter-arrival Time</t>
  </si>
  <si>
    <t>Routing Probabilities</t>
  </si>
  <si>
    <t>Resource Allocation</t>
  </si>
  <si>
    <t>Accuracy</t>
  </si>
  <si>
    <t>Consistency</t>
  </si>
  <si>
    <t>Completeness</t>
  </si>
  <si>
    <t>Overall Score</t>
  </si>
  <si>
    <t>datasetwith1000cases_ActivityLabel_Accuracy_10%</t>
  </si>
  <si>
    <t>100.00%</t>
  </si>
  <si>
    <t>99.17%</t>
  </si>
  <si>
    <t>97.33%</t>
  </si>
  <si>
    <t>98.83%</t>
  </si>
  <si>
    <t>98.75%</t>
  </si>
  <si>
    <t>99.56%</t>
  </si>
  <si>
    <t>96.00%</t>
  </si>
  <si>
    <t>98.10%</t>
  </si>
  <si>
    <t>datasetwith1000cases_ActivityLabel_Accuracy_20%</t>
  </si>
  <si>
    <t>98.33%</t>
  </si>
  <si>
    <t>95.07%</t>
  </si>
  <si>
    <t>97.80%</t>
  </si>
  <si>
    <t>97.50%</t>
  </si>
  <si>
    <t>99.58%</t>
  </si>
  <si>
    <t>92.60%</t>
  </si>
  <si>
    <t>96.56%</t>
  </si>
  <si>
    <t>datasetwith1000cases_ActivityLabel_Accuracy_5%</t>
  </si>
  <si>
    <t>98.67%</t>
  </si>
  <si>
    <t>99.42%</t>
  </si>
  <si>
    <t>99.38%</t>
  </si>
  <si>
    <t>99.59%</t>
  </si>
  <si>
    <t>98.00%</t>
  </si>
  <si>
    <t>98.99%</t>
  </si>
  <si>
    <t>datasetwith1000cases_ActivityLabel_Completeness_10%</t>
  </si>
  <si>
    <t>97.37%</t>
  </si>
  <si>
    <t>99.12%</t>
  </si>
  <si>
    <t>96.05%</t>
  </si>
  <si>
    <t>98.54%</t>
  </si>
  <si>
    <t>datasetwith1000cases_ActivityLabel_Completeness_20%</t>
  </si>
  <si>
    <t>94.90%</t>
  </si>
  <si>
    <t>98.30%</t>
  </si>
  <si>
    <t>99.57%</t>
  </si>
  <si>
    <t>92.35%</t>
  </si>
  <si>
    <t>97.31%</t>
  </si>
  <si>
    <t>datasetwith1000cases_ActivityLabel_Completeness_5%</t>
  </si>
  <si>
    <t>98.80%</t>
  </si>
  <si>
    <t>99.60%</t>
  </si>
  <si>
    <t>98.20%</t>
  </si>
  <si>
    <t>99.26%</t>
  </si>
  <si>
    <t>datasetwith1000cases_ActivityLabel_Consistency_10%</t>
  </si>
  <si>
    <t>95.00%</t>
  </si>
  <si>
    <t>90.70%</t>
  </si>
  <si>
    <t>95.23%</t>
  </si>
  <si>
    <t>94.54%</t>
  </si>
  <si>
    <t>86.05%</t>
  </si>
  <si>
    <t>93.53%</t>
  </si>
  <si>
    <t>datasetwith1000cases_ActivityLabel_Consistency_20%</t>
  </si>
  <si>
    <t>91.67%</t>
  </si>
  <si>
    <t>80.03%</t>
  </si>
  <si>
    <t>83.83%</t>
  </si>
  <si>
    <t>85.17%</t>
  </si>
  <si>
    <t>87.50%</t>
  </si>
  <si>
    <t>79.59%</t>
  </si>
  <si>
    <t>75.75%</t>
  </si>
  <si>
    <t>80.95%</t>
  </si>
  <si>
    <t>datasetwith1000cases_ActivityLabel_Consistency_5%</t>
  </si>
  <si>
    <t>95.63%</t>
  </si>
  <si>
    <t>97.71%</t>
  </si>
  <si>
    <t>97.05%</t>
  </si>
  <si>
    <t>93.45%</t>
  </si>
  <si>
    <t>96.83%</t>
  </si>
  <si>
    <t>datasetwith1000cases_CaseID_Accuracy_10%</t>
  </si>
  <si>
    <t>96.67%</t>
  </si>
  <si>
    <t>98.89%</t>
  </si>
  <si>
    <t>99.86%</t>
  </si>
  <si>
    <t>datasetwith1000cases_CaseID_Accuracy_20%</t>
  </si>
  <si>
    <t>90.05%</t>
  </si>
  <si>
    <t>96.68%</t>
  </si>
  <si>
    <t>93.37%</t>
  </si>
  <si>
    <t>97.79%</t>
  </si>
  <si>
    <t>datasetwith1000cases_CaseID_Accuracy_5%</t>
  </si>
  <si>
    <t>99.44%</t>
  </si>
  <si>
    <t>datasetwith1000cases_CaseID_Completeness_10%</t>
  </si>
  <si>
    <t>92.47%</t>
  </si>
  <si>
    <t>87.51%</t>
  </si>
  <si>
    <t>93.33%</t>
  </si>
  <si>
    <t>93.71%</t>
  </si>
  <si>
    <t>99.64%</t>
  </si>
  <si>
    <t>86.26%</t>
  </si>
  <si>
    <t>93.20%</t>
  </si>
  <si>
    <t>datasetwith1000cases_CaseID_Completeness_20%</t>
  </si>
  <si>
    <t>90.00%</t>
  </si>
  <si>
    <t>85.00%</t>
  </si>
  <si>
    <t>76.73%</t>
  </si>
  <si>
    <t>87.24%</t>
  </si>
  <si>
    <t>99.66%</t>
  </si>
  <si>
    <t>75.10%</t>
  </si>
  <si>
    <t>87.42%</t>
  </si>
  <si>
    <t>datasetwith1000cases_CaseID_Completeness_5%</t>
  </si>
  <si>
    <t>93.50%</t>
  </si>
  <si>
    <t>97.28%</t>
  </si>
  <si>
    <t>99.63%</t>
  </si>
  <si>
    <t>92.75%</t>
  </si>
  <si>
    <t>97.46%</t>
  </si>
  <si>
    <t>97.51%</t>
  </si>
  <si>
    <t>datasetwith1000cases_Resource_Accuracy_10%</t>
  </si>
  <si>
    <t>99.55%</t>
  </si>
  <si>
    <t>98.18%</t>
  </si>
  <si>
    <t>datasetwith1000cases_Resource_Accuracy_20%</t>
  </si>
  <si>
    <t>96.53%</t>
  </si>
  <si>
    <t>datasetwith1000cases_Resource_Accuracy_5%</t>
  </si>
  <si>
    <t>99.05%</t>
  </si>
  <si>
    <t>datasetwith1000cases_Resource_Completeness_10%</t>
  </si>
  <si>
    <t>98.19%</t>
  </si>
  <si>
    <t>datasetwith1000cases_Resource_Completeness_20%</t>
  </si>
  <si>
    <t>99.67%</t>
  </si>
  <si>
    <t>datasetwith1000cases_Resource_Completeness_5%</t>
  </si>
  <si>
    <t>99.03%</t>
  </si>
  <si>
    <t>datasetwith1000cases_Resource_Consistency_10%</t>
  </si>
  <si>
    <t>97.92%</t>
  </si>
  <si>
    <t>99.31%</t>
  </si>
  <si>
    <t>datasetwith1000cases_Resource_Consistency_20%</t>
  </si>
  <si>
    <t>96.20%</t>
  </si>
  <si>
    <t>98.73%</t>
  </si>
  <si>
    <t>datasetwith1000cases_Resource_Consistency_5%</t>
  </si>
  <si>
    <t>98.86%</t>
  </si>
  <si>
    <t>99.62%</t>
  </si>
  <si>
    <t>datasetwith1000cases_Timestamp_Accuracy_10%</t>
  </si>
  <si>
    <t>92.16%</t>
  </si>
  <si>
    <t>97.39%</t>
  </si>
  <si>
    <t>94.78%</t>
  </si>
  <si>
    <t>98.26%</t>
  </si>
  <si>
    <t>99.88%</t>
  </si>
  <si>
    <t>datasetwith1000cases_Timestamp_Accuracy_20%</t>
  </si>
  <si>
    <t>70.00%</t>
  </si>
  <si>
    <t>84.00%</t>
  </si>
  <si>
    <t>94.67%</t>
  </si>
  <si>
    <t>89.33%</t>
  </si>
  <si>
    <t>96.44%</t>
  </si>
  <si>
    <t>99.72%</t>
  </si>
  <si>
    <t>99.91%</t>
  </si>
  <si>
    <t>datasetwith1000cases_Timestamp_Accuracy_5%</t>
  </si>
  <si>
    <t>92.50%</t>
  </si>
  <si>
    <t>96.08%</t>
  </si>
  <si>
    <t>98.69%</t>
  </si>
  <si>
    <t>97.38%</t>
  </si>
  <si>
    <t>99.13%</t>
  </si>
  <si>
    <t>datasetwith1000cases_Timestamp_Completeness_10%</t>
  </si>
  <si>
    <t>99.89%</t>
  </si>
  <si>
    <t>datasetwith1000cases_Timestamp_Completeness_20%</t>
  </si>
  <si>
    <t>80.00%</t>
  </si>
  <si>
    <t>97.78%</t>
  </si>
  <si>
    <t>99.74%</t>
  </si>
  <si>
    <t>datasetwith1000cases_Timestamp_Completeness_5%</t>
  </si>
  <si>
    <t>datasetwith1000cases_Timestamp_Consistency_10%</t>
  </si>
  <si>
    <t>98.60%</t>
  </si>
  <si>
    <t>98.72%</t>
  </si>
  <si>
    <t>98.28%</t>
  </si>
  <si>
    <t>95.01%</t>
  </si>
  <si>
    <t>97.45%</t>
  </si>
  <si>
    <t>99.07%</t>
  </si>
  <si>
    <t>99.15%</t>
  </si>
  <si>
    <t>98.57%</t>
  </si>
  <si>
    <t>99.43%</t>
  </si>
  <si>
    <t>datasetwith1000cases_Timestamp_Consistency_20%</t>
  </si>
  <si>
    <t>96.79%</t>
  </si>
  <si>
    <t>94.81%</t>
  </si>
  <si>
    <t>97.70%</t>
  </si>
  <si>
    <t>96.43%</t>
  </si>
  <si>
    <t>89.61%</t>
  </si>
  <si>
    <t>94.70%</t>
  </si>
  <si>
    <t>97.86%</t>
  </si>
  <si>
    <t>98.47%</t>
  </si>
  <si>
    <t>97.04%</t>
  </si>
  <si>
    <t>96.71%</t>
  </si>
  <si>
    <t>98.90%</t>
  </si>
  <si>
    <t>datasetwith1000cases_Timestamp_Consistency_5%</t>
  </si>
  <si>
    <t>99.32%</t>
  </si>
  <si>
    <t>98.79%</t>
  </si>
  <si>
    <t>99.35%</t>
  </si>
  <si>
    <t>97.59%</t>
  </si>
  <si>
    <t>99.54%</t>
  </si>
  <si>
    <t>99.30%</t>
  </si>
  <si>
    <t>98.95%</t>
  </si>
  <si>
    <t>99.65%</t>
  </si>
  <si>
    <t>datasetwith1000cases_clean</t>
  </si>
  <si>
    <t>Log Distance Metrics</t>
  </si>
  <si>
    <t>control flow log</t>
  </si>
  <si>
    <t>n gram distribution n3</t>
  </si>
  <si>
    <t>absolute event distribution both</t>
  </si>
  <si>
    <t>case arrival distribution</t>
  </si>
  <si>
    <t>circadian event distribution both</t>
  </si>
  <si>
    <t>relative event distribution both</t>
  </si>
  <si>
    <t>cycle time distribution 1h</t>
  </si>
  <si>
    <t>work in progress 1h</t>
  </si>
  <si>
    <t>circadian workforce distribution</t>
  </si>
  <si>
    <t>remaining time distribution 1h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</si>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</sst>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1F4E79"/>
      <name val="Calibri"/>
    </font>
    <font>
      <sz val="9"/>
      <name val="Calibri"/>
    </font>
    <font>
      <b/>
      <sz val="10"/>
      <color rgb="FF1A3A0A"/>
      <name val="Calibri"/>
    </font>
    <font>
      <b/>
      <sz val="9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375623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164" fontId="3" fillId="19" borderId="1" xfId="0" applyNumberFormat="1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  <xf numFmtId="164" fontId="3" fillId="11" borderId="1" xfId="0" applyNumberFormat="1" applyFont="1" applyFill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center" vertical="center"/>
    </xf>
    <xf numFmtId="164" fontId="3" fillId="13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164" fontId="5" fillId="11" borderId="1" xfId="0" applyNumberFormat="1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center" vertical="center"/>
    </xf>
    <xf numFmtId="164" fontId="5" fillId="13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5" fillId="19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18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0" fillId="21" borderId="0" xfId="0" applyFill="1"/>
    <xf numFmtId="0" fontId="1" fillId="22" borderId="1" xfId="0" applyFont="1" applyFill="1" applyBorder="1" applyAlignment="1">
      <alignment horizontal="center" vertical="center" wrapText="1"/>
    </xf>
    <xf numFmtId="0" fontId="0" fillId="2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"/>
  <sheetViews>
    <sheetView tabSelected="1" zoomScale="130" zoomScaleNormal="130" workbookViewId="0">
      <pane xSplit="1" ySplit="2" topLeftCell="E3" activePane="bottomRight" state="frozen"/>
      <selection pane="topRight"/>
      <selection pane="bottomLeft"/>
      <selection pane="bottomRight" activeCell="A40" sqref="A40"/>
    </sheetView>
  </sheetViews>
  <sheetFormatPr defaultRowHeight="14.5" x14ac:dyDescent="0.35"/>
  <cols>
    <col min="1" max="1" width="55" customWidth="1"/>
    <col min="2" max="4" width="13" hidden="1" customWidth="1"/>
    <col min="5" max="6" width="13" customWidth="1"/>
    <col min="7" max="9" width="13" hidden="1" customWidth="1"/>
    <col min="10" max="11" width="13" customWidth="1"/>
    <col min="12" max="14" width="13" hidden="1" customWidth="1"/>
    <col min="15" max="15" width="13" customWidth="1"/>
    <col min="16" max="16" width="12.81640625" customWidth="1"/>
    <col min="17" max="17" width="6.7265625" hidden="1" customWidth="1"/>
    <col min="18" max="18" width="8.54296875" hidden="1" customWidth="1"/>
    <col min="19" max="19" width="10.08984375" hidden="1" customWidth="1"/>
    <col min="20" max="21" width="13" customWidth="1"/>
    <col min="22" max="22" width="12.6328125" bestFit="1" customWidth="1"/>
    <col min="23" max="23" width="17.453125" bestFit="1" customWidth="1"/>
    <col min="24" max="24" width="25.08984375" bestFit="1" customWidth="1"/>
    <col min="25" max="25" width="9.453125" bestFit="1" customWidth="1"/>
    <col min="26" max="26" width="11.7265625" bestFit="1" customWidth="1"/>
  </cols>
  <sheetData>
    <row r="1" spans="1:31" ht="30" customHeight="1" x14ac:dyDescent="0.35">
      <c r="A1" s="51" t="s">
        <v>0</v>
      </c>
      <c r="B1" s="51" t="s">
        <v>1</v>
      </c>
      <c r="C1" s="52"/>
      <c r="D1" s="52"/>
      <c r="E1" s="52"/>
      <c r="F1" s="52"/>
      <c r="G1" s="54" t="s">
        <v>2</v>
      </c>
      <c r="H1" s="55"/>
      <c r="I1" s="55"/>
      <c r="J1" s="55"/>
      <c r="K1" s="55"/>
      <c r="L1" s="51" t="s">
        <v>3</v>
      </c>
      <c r="M1" s="52"/>
      <c r="N1" s="52"/>
      <c r="O1" s="52"/>
      <c r="P1" s="52"/>
      <c r="Q1" s="56" t="s">
        <v>4</v>
      </c>
      <c r="R1" s="57"/>
      <c r="S1" s="57"/>
      <c r="T1" s="57"/>
      <c r="V1" s="53" t="s">
        <v>186</v>
      </c>
      <c r="W1" s="52"/>
      <c r="X1" s="52"/>
      <c r="Y1" s="52"/>
      <c r="Z1" s="52"/>
      <c r="AA1" s="52"/>
      <c r="AB1" s="52"/>
      <c r="AC1" s="52"/>
      <c r="AD1" s="52"/>
      <c r="AE1" s="52"/>
    </row>
    <row r="2" spans="1:31" ht="36" customHeight="1" x14ac:dyDescent="0.35">
      <c r="A2" s="52"/>
      <c r="B2" s="1" t="s">
        <v>5</v>
      </c>
      <c r="C2" s="1" t="s">
        <v>6</v>
      </c>
      <c r="D2" s="1" t="s">
        <v>7</v>
      </c>
      <c r="E2" s="1" t="s">
        <v>197</v>
      </c>
      <c r="F2" s="1" t="s">
        <v>8</v>
      </c>
      <c r="G2" s="1" t="s">
        <v>5</v>
      </c>
      <c r="H2" s="1" t="s">
        <v>6</v>
      </c>
      <c r="I2" s="1" t="s">
        <v>7</v>
      </c>
      <c r="J2" s="1"/>
      <c r="K2" s="1" t="s">
        <v>8</v>
      </c>
      <c r="L2" s="1" t="s">
        <v>5</v>
      </c>
      <c r="M2" s="1" t="s">
        <v>6</v>
      </c>
      <c r="N2" s="1" t="s">
        <v>7</v>
      </c>
      <c r="O2" s="1"/>
      <c r="P2" s="1" t="s">
        <v>8</v>
      </c>
      <c r="Q2" s="1" t="s">
        <v>5</v>
      </c>
      <c r="R2" s="1" t="s">
        <v>6</v>
      </c>
      <c r="S2" s="1" t="s">
        <v>7</v>
      </c>
      <c r="T2" s="1" t="s">
        <v>8</v>
      </c>
      <c r="U2" s="1"/>
      <c r="V2" s="28" t="s">
        <v>189</v>
      </c>
      <c r="W2" s="28" t="s">
        <v>191</v>
      </c>
      <c r="X2" s="28" t="s">
        <v>192</v>
      </c>
      <c r="Y2" s="32" t="s">
        <v>190</v>
      </c>
      <c r="Z2" s="32" t="s">
        <v>193</v>
      </c>
      <c r="AA2" s="28" t="s">
        <v>187</v>
      </c>
      <c r="AB2" s="28" t="s">
        <v>188</v>
      </c>
      <c r="AC2" s="28" t="s">
        <v>196</v>
      </c>
      <c r="AD2" s="33" t="s">
        <v>194</v>
      </c>
      <c r="AE2" s="33" t="s">
        <v>195</v>
      </c>
    </row>
    <row r="3" spans="1:31" ht="36" customHeight="1" x14ac:dyDescent="0.35">
      <c r="A3" s="5" t="s">
        <v>9</v>
      </c>
      <c r="B3" s="6" t="s">
        <v>10</v>
      </c>
      <c r="C3" s="6" t="s">
        <v>10</v>
      </c>
      <c r="D3" s="6" t="s">
        <v>10</v>
      </c>
      <c r="E3" s="6" cm="1">
        <f t="array" ref="E3">MIN(VALUE(B3:D3))</f>
        <v>1</v>
      </c>
      <c r="F3" s="6" t="s">
        <v>10</v>
      </c>
      <c r="G3" s="6" t="s">
        <v>10</v>
      </c>
      <c r="H3" s="6" t="s">
        <v>10</v>
      </c>
      <c r="I3" s="6" t="s">
        <v>10</v>
      </c>
      <c r="J3" s="6" cm="1">
        <f t="array" ref="J3">MIN(VALUE(G3:I3))</f>
        <v>1</v>
      </c>
      <c r="K3" s="6" t="s">
        <v>10</v>
      </c>
      <c r="L3" s="6" t="s">
        <v>11</v>
      </c>
      <c r="M3" s="6" t="s">
        <v>10</v>
      </c>
      <c r="N3" s="6" t="s">
        <v>12</v>
      </c>
      <c r="O3" s="6" cm="1">
        <f t="array" ref="O3">MIN(VALUE(L3:N3))</f>
        <v>0.97330000000000005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cm="1">
        <f t="array" ref="U3">MIN(VALUE(Q3:S3))</f>
        <v>0.96</v>
      </c>
      <c r="V3" s="37">
        <v>0</v>
      </c>
      <c r="W3" s="37">
        <v>0</v>
      </c>
      <c r="X3" s="37">
        <v>0</v>
      </c>
      <c r="Y3" s="37">
        <v>0</v>
      </c>
      <c r="Z3" s="37">
        <v>0</v>
      </c>
      <c r="AA3" s="42">
        <v>2.5000000000000001E-2</v>
      </c>
      <c r="AB3" s="42">
        <v>0.05</v>
      </c>
      <c r="AC3" s="37">
        <v>0</v>
      </c>
      <c r="AD3" s="37">
        <v>0</v>
      </c>
      <c r="AE3" s="37">
        <v>0</v>
      </c>
    </row>
    <row r="4" spans="1:31" x14ac:dyDescent="0.35">
      <c r="A4" s="5" t="s">
        <v>18</v>
      </c>
      <c r="B4" s="6" t="s">
        <v>10</v>
      </c>
      <c r="C4" s="6" t="s">
        <v>10</v>
      </c>
      <c r="D4" s="6" t="s">
        <v>10</v>
      </c>
      <c r="E4" s="6" cm="1">
        <f t="array" ref="E4">MIN(VALUE(B4:D4))</f>
        <v>1</v>
      </c>
      <c r="F4" s="6" t="s">
        <v>10</v>
      </c>
      <c r="G4" s="6" t="s">
        <v>10</v>
      </c>
      <c r="H4" s="6" t="s">
        <v>10</v>
      </c>
      <c r="I4" s="6" t="s">
        <v>10</v>
      </c>
      <c r="J4" s="6" cm="1">
        <f t="array" ref="J4">MIN(VALUE(G4:I4))</f>
        <v>1</v>
      </c>
      <c r="K4" s="6" t="s">
        <v>10</v>
      </c>
      <c r="L4" s="6" t="s">
        <v>19</v>
      </c>
      <c r="M4" s="6" t="s">
        <v>10</v>
      </c>
      <c r="N4" s="6" t="s">
        <v>20</v>
      </c>
      <c r="O4" s="6" cm="1">
        <f t="array" ref="O4">MIN(VALUE(L4:N4))</f>
        <v>0.95069999999999999</v>
      </c>
      <c r="P4" s="6" t="s">
        <v>21</v>
      </c>
      <c r="Q4" s="6" t="s">
        <v>22</v>
      </c>
      <c r="R4" s="6" t="s">
        <v>23</v>
      </c>
      <c r="S4" s="6" t="s">
        <v>24</v>
      </c>
      <c r="T4" s="6" t="s">
        <v>25</v>
      </c>
      <c r="U4" s="6" cm="1">
        <f t="array" ref="U4">MIN(VALUE(Q4:S4))</f>
        <v>0.92600000000000005</v>
      </c>
      <c r="V4" s="37">
        <v>0</v>
      </c>
      <c r="W4" s="37">
        <v>0</v>
      </c>
      <c r="X4" s="37">
        <v>0</v>
      </c>
      <c r="Y4" s="37">
        <v>0</v>
      </c>
      <c r="Z4" s="37">
        <v>0</v>
      </c>
      <c r="AA4" s="42">
        <v>0.05</v>
      </c>
      <c r="AB4" s="42">
        <v>0.1</v>
      </c>
      <c r="AC4" s="37">
        <v>0</v>
      </c>
      <c r="AD4" s="37">
        <v>0</v>
      </c>
      <c r="AE4" s="37">
        <v>0</v>
      </c>
    </row>
    <row r="5" spans="1:31" x14ac:dyDescent="0.35">
      <c r="A5" s="5" t="s">
        <v>26</v>
      </c>
      <c r="B5" s="6" t="s">
        <v>10</v>
      </c>
      <c r="C5" s="6" t="s">
        <v>10</v>
      </c>
      <c r="D5" s="6" t="s">
        <v>10</v>
      </c>
      <c r="E5" s="6" cm="1">
        <f t="array" ref="E5">MIN(VALUE(B5:D5))</f>
        <v>1</v>
      </c>
      <c r="F5" s="6" t="s">
        <v>10</v>
      </c>
      <c r="G5" s="6" t="s">
        <v>10</v>
      </c>
      <c r="H5" s="6" t="s">
        <v>10</v>
      </c>
      <c r="I5" s="6" t="s">
        <v>10</v>
      </c>
      <c r="J5" s="6" cm="1">
        <f t="array" ref="J5">MIN(VALUE(G5:I5))</f>
        <v>1</v>
      </c>
      <c r="K5" s="6" t="s">
        <v>10</v>
      </c>
      <c r="L5" s="6" t="s">
        <v>23</v>
      </c>
      <c r="M5" s="6" t="s">
        <v>10</v>
      </c>
      <c r="N5" s="6" t="s">
        <v>27</v>
      </c>
      <c r="O5" s="6" cm="1">
        <f t="array" ref="O5">MIN(VALUE(L5:N5))</f>
        <v>0.98670000000000002</v>
      </c>
      <c r="P5" s="6" t="s">
        <v>28</v>
      </c>
      <c r="Q5" s="6" t="s">
        <v>29</v>
      </c>
      <c r="R5" s="6" t="s">
        <v>30</v>
      </c>
      <c r="S5" s="6" t="s">
        <v>31</v>
      </c>
      <c r="T5" s="6" t="s">
        <v>32</v>
      </c>
      <c r="U5" s="6" cm="1">
        <f t="array" ref="U5">MIN(VALUE(Q5:S5))</f>
        <v>0.98</v>
      </c>
      <c r="V5" s="37">
        <v>0</v>
      </c>
      <c r="W5" s="37">
        <v>0</v>
      </c>
      <c r="X5" s="37">
        <v>0</v>
      </c>
      <c r="Y5" s="37">
        <v>0</v>
      </c>
      <c r="Z5" s="37">
        <v>0</v>
      </c>
      <c r="AA5" s="42">
        <v>1.2500000000000001E-2</v>
      </c>
      <c r="AB5" s="42">
        <v>2.5000000000000001E-2</v>
      </c>
      <c r="AC5" s="37">
        <v>0</v>
      </c>
      <c r="AD5" s="37">
        <v>0</v>
      </c>
      <c r="AE5" s="37">
        <v>0</v>
      </c>
    </row>
    <row r="6" spans="1:31" x14ac:dyDescent="0.35">
      <c r="A6" s="7" t="s">
        <v>33</v>
      </c>
      <c r="B6" s="8" t="s">
        <v>10</v>
      </c>
      <c r="C6" s="8" t="s">
        <v>10</v>
      </c>
      <c r="D6" s="8" t="s">
        <v>10</v>
      </c>
      <c r="E6" s="6" cm="1">
        <f t="array" ref="E6">MIN(VALUE(B6:D6))</f>
        <v>1</v>
      </c>
      <c r="F6" s="8" t="s">
        <v>10</v>
      </c>
      <c r="G6" s="8" t="s">
        <v>10</v>
      </c>
      <c r="H6" s="8" t="s">
        <v>10</v>
      </c>
      <c r="I6" s="8" t="s">
        <v>10</v>
      </c>
      <c r="J6" s="6" cm="1">
        <f t="array" ref="J6">MIN(VALUE(G6:I6))</f>
        <v>1</v>
      </c>
      <c r="K6" s="8" t="s">
        <v>10</v>
      </c>
      <c r="L6" s="8" t="s">
        <v>10</v>
      </c>
      <c r="M6" s="8" t="s">
        <v>10</v>
      </c>
      <c r="N6" s="8" t="s">
        <v>34</v>
      </c>
      <c r="O6" s="6" cm="1">
        <f t="array" ref="O6">MIN(VALUE(L6:N6))</f>
        <v>0.97370000000000001</v>
      </c>
      <c r="P6" s="8" t="s">
        <v>35</v>
      </c>
      <c r="Q6" s="8" t="s">
        <v>10</v>
      </c>
      <c r="R6" s="8" t="s">
        <v>23</v>
      </c>
      <c r="S6" s="8" t="s">
        <v>36</v>
      </c>
      <c r="T6" s="8" t="s">
        <v>37</v>
      </c>
      <c r="U6" s="6" cm="1">
        <f t="array" ref="U6">MIN(VALUE(Q6:S6))</f>
        <v>0.96050000000000002</v>
      </c>
      <c r="V6" s="38">
        <v>0.1244807692307693</v>
      </c>
      <c r="W6" s="38">
        <v>4.6103356740812243E-2</v>
      </c>
      <c r="X6" s="38">
        <v>8.8044871794871193E-3</v>
      </c>
      <c r="Y6" s="38">
        <v>8.0000000000000071E-3</v>
      </c>
      <c r="Z6" s="38">
        <v>2.9999999999999971E-2</v>
      </c>
      <c r="AA6" s="43">
        <v>2.5000000000000001E-2</v>
      </c>
      <c r="AB6" s="43">
        <v>4.2016806722689079E-2</v>
      </c>
      <c r="AC6" s="38">
        <v>1.300000000000001E-2</v>
      </c>
      <c r="AD6" s="38">
        <v>5.6214849808954525E-4</v>
      </c>
      <c r="AE6" s="38">
        <v>0</v>
      </c>
    </row>
    <row r="7" spans="1:31" x14ac:dyDescent="0.35">
      <c r="A7" s="7" t="s">
        <v>38</v>
      </c>
      <c r="B7" s="8" t="s">
        <v>10</v>
      </c>
      <c r="C7" s="8" t="s">
        <v>10</v>
      </c>
      <c r="D7" s="8" t="s">
        <v>10</v>
      </c>
      <c r="E7" s="6" cm="1">
        <f t="array" ref="E7">MIN(VALUE(B7:D7))</f>
        <v>1</v>
      </c>
      <c r="F7" s="8" t="s">
        <v>10</v>
      </c>
      <c r="G7" s="8" t="s">
        <v>10</v>
      </c>
      <c r="H7" s="8" t="s">
        <v>10</v>
      </c>
      <c r="I7" s="8" t="s">
        <v>10</v>
      </c>
      <c r="J7" s="6" cm="1">
        <f t="array" ref="J7">MIN(VALUE(G7:I7))</f>
        <v>1</v>
      </c>
      <c r="K7" s="8" t="s">
        <v>10</v>
      </c>
      <c r="L7" s="8" t="s">
        <v>10</v>
      </c>
      <c r="M7" s="8" t="s">
        <v>10</v>
      </c>
      <c r="N7" s="8" t="s">
        <v>39</v>
      </c>
      <c r="O7" s="6" cm="1">
        <f t="array" ref="O7">MIN(VALUE(L7:N7))</f>
        <v>0.94899999999999995</v>
      </c>
      <c r="P7" s="8" t="s">
        <v>40</v>
      </c>
      <c r="Q7" s="8" t="s">
        <v>10</v>
      </c>
      <c r="R7" s="8" t="s">
        <v>41</v>
      </c>
      <c r="S7" s="8" t="s">
        <v>42</v>
      </c>
      <c r="T7" s="8" t="s">
        <v>43</v>
      </c>
      <c r="U7" s="6" cm="1">
        <f t="array" ref="U7">MIN(VALUE(Q7:S7))</f>
        <v>0.92349999999999999</v>
      </c>
      <c r="V7" s="38">
        <v>0.12801315789473641</v>
      </c>
      <c r="W7" s="38">
        <v>5.9550776576465687E-2</v>
      </c>
      <c r="X7" s="38">
        <v>1.320394736842101E-2</v>
      </c>
      <c r="Y7" s="38">
        <v>1.599999999999999E-2</v>
      </c>
      <c r="Z7" s="38">
        <v>4.2999999999999997E-2</v>
      </c>
      <c r="AA7" s="43">
        <v>0.05</v>
      </c>
      <c r="AB7" s="43">
        <v>8.4745762711864403E-2</v>
      </c>
      <c r="AC7" s="38">
        <v>2.899999999999996E-2</v>
      </c>
      <c r="AD7" s="38">
        <v>8.8628202857071769E-4</v>
      </c>
      <c r="AE7" s="38">
        <v>0</v>
      </c>
    </row>
    <row r="8" spans="1:31" x14ac:dyDescent="0.35">
      <c r="A8" s="7" t="s">
        <v>44</v>
      </c>
      <c r="B8" s="8" t="s">
        <v>10</v>
      </c>
      <c r="C8" s="8" t="s">
        <v>10</v>
      </c>
      <c r="D8" s="8" t="s">
        <v>10</v>
      </c>
      <c r="E8" s="6" cm="1">
        <f t="array" ref="E8">MIN(VALUE(B8:D8))</f>
        <v>1</v>
      </c>
      <c r="F8" s="8" t="s">
        <v>10</v>
      </c>
      <c r="G8" s="8" t="s">
        <v>10</v>
      </c>
      <c r="H8" s="8" t="s">
        <v>10</v>
      </c>
      <c r="I8" s="8" t="s">
        <v>10</v>
      </c>
      <c r="J8" s="6" cm="1">
        <f t="array" ref="J8">MIN(VALUE(G8:I8))</f>
        <v>1</v>
      </c>
      <c r="K8" s="8" t="s">
        <v>10</v>
      </c>
      <c r="L8" s="8" t="s">
        <v>10</v>
      </c>
      <c r="M8" s="8" t="s">
        <v>10</v>
      </c>
      <c r="N8" s="8" t="s">
        <v>45</v>
      </c>
      <c r="O8" s="6" cm="1">
        <f t="array" ref="O8">MIN(VALUE(L8:N8))</f>
        <v>0.98799999999999999</v>
      </c>
      <c r="P8" s="8" t="s">
        <v>46</v>
      </c>
      <c r="Q8" s="8" t="s">
        <v>10</v>
      </c>
      <c r="R8" s="8" t="s">
        <v>23</v>
      </c>
      <c r="S8" s="8" t="s">
        <v>47</v>
      </c>
      <c r="T8" s="8" t="s">
        <v>48</v>
      </c>
      <c r="U8" s="6" cm="1">
        <f t="array" ref="U8">MIN(VALUE(Q8:S8))</f>
        <v>0.98199999999999998</v>
      </c>
      <c r="V8" s="38">
        <v>6.7952531645569428E-2</v>
      </c>
      <c r="W8" s="38">
        <v>3.0769908154883861E-2</v>
      </c>
      <c r="X8" s="38">
        <v>2.590189873417748E-3</v>
      </c>
      <c r="Y8" s="38">
        <v>6.0000000000000053E-3</v>
      </c>
      <c r="Z8" s="38">
        <v>9.000000000000008E-3</v>
      </c>
      <c r="AA8" s="43">
        <v>1.2500000000000001E-2</v>
      </c>
      <c r="AB8" s="43">
        <v>2.0920502092050208E-2</v>
      </c>
      <c r="AC8" s="38">
        <v>7.0000000000000027E-3</v>
      </c>
      <c r="AD8" s="38">
        <v>2.7063134515133868E-4</v>
      </c>
      <c r="AE8" s="38">
        <v>0</v>
      </c>
    </row>
    <row r="9" spans="1:31" x14ac:dyDescent="0.35">
      <c r="A9" s="9" t="s">
        <v>49</v>
      </c>
      <c r="B9" s="10" t="s">
        <v>10</v>
      </c>
      <c r="C9" s="10" t="s">
        <v>10</v>
      </c>
      <c r="D9" s="10" t="s">
        <v>10</v>
      </c>
      <c r="E9" s="6" cm="1">
        <f t="array" ref="E9">MIN(VALUE(B9:D9))</f>
        <v>1</v>
      </c>
      <c r="F9" s="10" t="s">
        <v>10</v>
      </c>
      <c r="G9" s="10" t="s">
        <v>10</v>
      </c>
      <c r="H9" s="10" t="s">
        <v>10</v>
      </c>
      <c r="I9" s="10" t="s">
        <v>10</v>
      </c>
      <c r="J9" s="6" cm="1">
        <f t="array" ref="J9">MIN(VALUE(G9:I9))</f>
        <v>1</v>
      </c>
      <c r="K9" s="10" t="s">
        <v>10</v>
      </c>
      <c r="L9" s="10" t="s">
        <v>10</v>
      </c>
      <c r="M9" s="10" t="s">
        <v>50</v>
      </c>
      <c r="N9" s="10" t="s">
        <v>51</v>
      </c>
      <c r="O9" s="6" cm="1">
        <f t="array" ref="O9">MIN(VALUE(L9:N9))</f>
        <v>0.90700000000000003</v>
      </c>
      <c r="P9" s="10" t="s">
        <v>52</v>
      </c>
      <c r="Q9" s="10" t="s">
        <v>10</v>
      </c>
      <c r="R9" s="10" t="s">
        <v>53</v>
      </c>
      <c r="S9" s="10" t="s">
        <v>54</v>
      </c>
      <c r="T9" s="10" t="s">
        <v>55</v>
      </c>
      <c r="U9" s="6" cm="1">
        <f t="array" ref="U9">MIN(VALUE(Q9:S9))</f>
        <v>0.86050000000000004</v>
      </c>
      <c r="V9" s="39">
        <v>0</v>
      </c>
      <c r="W9" s="39">
        <v>0</v>
      </c>
      <c r="X9" s="39">
        <v>0</v>
      </c>
      <c r="Y9" s="39">
        <v>0</v>
      </c>
      <c r="Z9" s="39">
        <v>0</v>
      </c>
      <c r="AA9" s="44">
        <v>0.1</v>
      </c>
      <c r="AB9" s="44">
        <v>0.1855</v>
      </c>
      <c r="AC9" s="39">
        <v>0</v>
      </c>
      <c r="AD9" s="39">
        <v>0</v>
      </c>
      <c r="AE9" s="39">
        <v>0</v>
      </c>
    </row>
    <row r="10" spans="1:31" x14ac:dyDescent="0.35">
      <c r="A10" s="9" t="s">
        <v>56</v>
      </c>
      <c r="B10" s="10" t="s">
        <v>10</v>
      </c>
      <c r="C10" s="10" t="s">
        <v>10</v>
      </c>
      <c r="D10" s="10" t="s">
        <v>10</v>
      </c>
      <c r="E10" s="6" cm="1">
        <f t="array" ref="E10">MIN(VALUE(B10:D10))</f>
        <v>1</v>
      </c>
      <c r="F10" s="10" t="s">
        <v>10</v>
      </c>
      <c r="G10" s="10" t="s">
        <v>10</v>
      </c>
      <c r="H10" s="10" t="s">
        <v>10</v>
      </c>
      <c r="I10" s="10" t="s">
        <v>10</v>
      </c>
      <c r="J10" s="6" cm="1">
        <f t="array" ref="J10">MIN(VALUE(G10:I10))</f>
        <v>1</v>
      </c>
      <c r="K10" s="10" t="s">
        <v>10</v>
      </c>
      <c r="L10" s="10" t="s">
        <v>57</v>
      </c>
      <c r="M10" s="10" t="s">
        <v>58</v>
      </c>
      <c r="N10" s="10" t="s">
        <v>59</v>
      </c>
      <c r="O10" s="6" cm="1">
        <f t="array" ref="O10">MIN(VALUE(L10:N10))</f>
        <v>0.80030000000000001</v>
      </c>
      <c r="P10" s="10" t="s">
        <v>60</v>
      </c>
      <c r="Q10" s="10" t="s">
        <v>61</v>
      </c>
      <c r="R10" s="10" t="s">
        <v>62</v>
      </c>
      <c r="S10" s="10" t="s">
        <v>63</v>
      </c>
      <c r="T10" s="10" t="s">
        <v>64</v>
      </c>
      <c r="U10" s="6" cm="1">
        <f t="array" ref="U10">MIN(VALUE(Q10:S10))</f>
        <v>0.75749999999999995</v>
      </c>
      <c r="V10" s="39">
        <v>0</v>
      </c>
      <c r="W10" s="39">
        <v>0</v>
      </c>
      <c r="X10" s="39">
        <v>0</v>
      </c>
      <c r="Y10" s="39">
        <v>0</v>
      </c>
      <c r="Z10" s="39">
        <v>0</v>
      </c>
      <c r="AA10" s="44">
        <v>0.2</v>
      </c>
      <c r="AB10" s="44">
        <v>0.34849999999999998</v>
      </c>
      <c r="AC10" s="39">
        <v>0</v>
      </c>
      <c r="AD10" s="39">
        <v>0</v>
      </c>
      <c r="AE10" s="39">
        <v>0</v>
      </c>
    </row>
    <row r="11" spans="1:31" x14ac:dyDescent="0.35">
      <c r="A11" s="9" t="s">
        <v>65</v>
      </c>
      <c r="B11" s="10" t="s">
        <v>10</v>
      </c>
      <c r="C11" s="10" t="s">
        <v>10</v>
      </c>
      <c r="D11" s="10" t="s">
        <v>10</v>
      </c>
      <c r="E11" s="6" cm="1">
        <f t="array" ref="E11">MIN(VALUE(B11:D11))</f>
        <v>1</v>
      </c>
      <c r="F11" s="10" t="s">
        <v>10</v>
      </c>
      <c r="G11" s="10" t="s">
        <v>10</v>
      </c>
      <c r="H11" s="10" t="s">
        <v>10</v>
      </c>
      <c r="I11" s="10" t="s">
        <v>10</v>
      </c>
      <c r="J11" s="6" cm="1">
        <f t="array" ref="J11">MIN(VALUE(G11:I11))</f>
        <v>1</v>
      </c>
      <c r="K11" s="10" t="s">
        <v>10</v>
      </c>
      <c r="L11" s="10" t="s">
        <v>10</v>
      </c>
      <c r="M11" s="10" t="s">
        <v>22</v>
      </c>
      <c r="N11" s="10" t="s">
        <v>66</v>
      </c>
      <c r="O11" s="6" cm="1">
        <f t="array" ref="O11">MIN(VALUE(L11:N11))</f>
        <v>0.95630000000000004</v>
      </c>
      <c r="P11" s="10" t="s">
        <v>67</v>
      </c>
      <c r="Q11" s="10" t="s">
        <v>10</v>
      </c>
      <c r="R11" s="10" t="s">
        <v>68</v>
      </c>
      <c r="S11" s="10" t="s">
        <v>69</v>
      </c>
      <c r="T11" s="10" t="s">
        <v>70</v>
      </c>
      <c r="U11" s="6" cm="1">
        <f t="array" ref="U11">MIN(VALUE(Q11:S11))</f>
        <v>0.9345</v>
      </c>
      <c r="V11" s="39">
        <v>0</v>
      </c>
      <c r="W11" s="39">
        <v>0</v>
      </c>
      <c r="X11" s="39">
        <v>0</v>
      </c>
      <c r="Y11" s="39">
        <v>0</v>
      </c>
      <c r="Z11" s="39">
        <v>0</v>
      </c>
      <c r="AA11" s="44">
        <v>0.05</v>
      </c>
      <c r="AB11" s="44">
        <v>9.7000000000000003E-2</v>
      </c>
      <c r="AC11" s="39">
        <v>0</v>
      </c>
      <c r="AD11" s="39">
        <v>0</v>
      </c>
      <c r="AE11" s="39">
        <v>0</v>
      </c>
    </row>
    <row r="12" spans="1:31" x14ac:dyDescent="0.35">
      <c r="A12" s="11" t="s">
        <v>71</v>
      </c>
      <c r="B12" s="12" t="s">
        <v>10</v>
      </c>
      <c r="C12" s="12" t="s">
        <v>10</v>
      </c>
      <c r="D12" s="12" t="s">
        <v>10</v>
      </c>
      <c r="E12" s="6" cm="1">
        <f t="array" ref="E12">MIN(VALUE(B12:D12))</f>
        <v>1</v>
      </c>
      <c r="F12" s="12" t="s">
        <v>10</v>
      </c>
      <c r="G12" s="12" t="s">
        <v>50</v>
      </c>
      <c r="H12" s="12" t="s">
        <v>10</v>
      </c>
      <c r="I12" s="12" t="s">
        <v>10</v>
      </c>
      <c r="J12" s="6" cm="1">
        <f t="array" ref="J12">MIN(VALUE(G12:I12))</f>
        <v>0.95</v>
      </c>
      <c r="K12" s="12" t="s">
        <v>19</v>
      </c>
      <c r="L12" s="12" t="s">
        <v>72</v>
      </c>
      <c r="M12" s="12" t="s">
        <v>10</v>
      </c>
      <c r="N12" s="12" t="s">
        <v>10</v>
      </c>
      <c r="O12" s="6" cm="1">
        <f t="array" ref="O12">MIN(VALUE(L12:N12))</f>
        <v>0.9667</v>
      </c>
      <c r="P12" s="12" t="s">
        <v>73</v>
      </c>
      <c r="Q12" s="12" t="s">
        <v>10</v>
      </c>
      <c r="R12" s="12" t="s">
        <v>30</v>
      </c>
      <c r="S12" s="12" t="s">
        <v>10</v>
      </c>
      <c r="T12" s="12" t="s">
        <v>74</v>
      </c>
      <c r="U12" s="6" cm="1">
        <f t="array" ref="U12">MIN(VALUE(Q12:S12))</f>
        <v>0.99590000000000001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</row>
    <row r="13" spans="1:31" x14ac:dyDescent="0.35">
      <c r="A13" s="11" t="s">
        <v>75</v>
      </c>
      <c r="B13" s="12" t="s">
        <v>10</v>
      </c>
      <c r="C13" s="12" t="s">
        <v>10</v>
      </c>
      <c r="D13" s="12" t="s">
        <v>10</v>
      </c>
      <c r="E13" s="6" cm="1">
        <f t="array" ref="E13">MIN(VALUE(B13:D13))</f>
        <v>1</v>
      </c>
      <c r="F13" s="12" t="s">
        <v>10</v>
      </c>
      <c r="G13" s="12" t="s">
        <v>76</v>
      </c>
      <c r="H13" s="12" t="s">
        <v>10</v>
      </c>
      <c r="I13" s="12" t="s">
        <v>10</v>
      </c>
      <c r="J13" s="6" cm="1">
        <f t="array" ref="J13">MIN(VALUE(G13:I13))</f>
        <v>0.90049999999999997</v>
      </c>
      <c r="K13" s="12" t="s">
        <v>77</v>
      </c>
      <c r="L13" s="12" t="s">
        <v>78</v>
      </c>
      <c r="M13" s="12" t="s">
        <v>10</v>
      </c>
      <c r="N13" s="12" t="s">
        <v>10</v>
      </c>
      <c r="O13" s="6" cm="1">
        <f t="array" ref="O13">MIN(VALUE(L13:N13))</f>
        <v>0.93369999999999997</v>
      </c>
      <c r="P13" s="12" t="s">
        <v>79</v>
      </c>
      <c r="Q13" s="12" t="s">
        <v>10</v>
      </c>
      <c r="R13" s="12" t="s">
        <v>30</v>
      </c>
      <c r="S13" s="12" t="s">
        <v>10</v>
      </c>
      <c r="T13" s="12" t="s">
        <v>74</v>
      </c>
      <c r="U13" s="6" cm="1">
        <f t="array" ref="U13">MIN(VALUE(Q13:S13))</f>
        <v>0.99590000000000001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</row>
    <row r="14" spans="1:31" x14ac:dyDescent="0.35">
      <c r="A14" s="11" t="s">
        <v>80</v>
      </c>
      <c r="B14" s="12" t="s">
        <v>10</v>
      </c>
      <c r="C14" s="12" t="s">
        <v>10</v>
      </c>
      <c r="D14" s="12" t="s">
        <v>10</v>
      </c>
      <c r="E14" s="6" cm="1">
        <f t="array" ref="E14">MIN(VALUE(B14:D14))</f>
        <v>1</v>
      </c>
      <c r="F14" s="12" t="s">
        <v>10</v>
      </c>
      <c r="G14" s="12" t="s">
        <v>22</v>
      </c>
      <c r="H14" s="12" t="s">
        <v>10</v>
      </c>
      <c r="I14" s="12" t="s">
        <v>10</v>
      </c>
      <c r="J14" s="6" cm="1">
        <f t="array" ref="J14">MIN(VALUE(G14:I14))</f>
        <v>0.97499999999999998</v>
      </c>
      <c r="K14" s="12" t="s">
        <v>11</v>
      </c>
      <c r="L14" s="12" t="s">
        <v>19</v>
      </c>
      <c r="M14" s="12" t="s">
        <v>10</v>
      </c>
      <c r="N14" s="12" t="s">
        <v>10</v>
      </c>
      <c r="O14" s="6" cm="1">
        <f t="array" ref="O14">MIN(VALUE(L14:N14))</f>
        <v>0.98329999999999995</v>
      </c>
      <c r="P14" s="12" t="s">
        <v>81</v>
      </c>
      <c r="Q14" s="12" t="s">
        <v>10</v>
      </c>
      <c r="R14" s="12" t="s">
        <v>30</v>
      </c>
      <c r="S14" s="12" t="s">
        <v>10</v>
      </c>
      <c r="T14" s="12" t="s">
        <v>74</v>
      </c>
      <c r="U14" s="6" cm="1">
        <f t="array" ref="U14">MIN(VALUE(Q14:S14))</f>
        <v>0.99590000000000001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</row>
    <row r="15" spans="1:31" x14ac:dyDescent="0.35">
      <c r="A15" s="13" t="s">
        <v>82</v>
      </c>
      <c r="B15" s="14" t="s">
        <v>10</v>
      </c>
      <c r="C15" s="14" t="s">
        <v>10</v>
      </c>
      <c r="D15" s="14" t="s">
        <v>10</v>
      </c>
      <c r="E15" s="6" cm="1">
        <f t="array" ref="E15">MIN(VALUE(B15:D15))</f>
        <v>1</v>
      </c>
      <c r="F15" s="14" t="s">
        <v>10</v>
      </c>
      <c r="G15" s="14" t="s">
        <v>50</v>
      </c>
      <c r="H15" s="14" t="s">
        <v>10</v>
      </c>
      <c r="I15" s="14" t="s">
        <v>50</v>
      </c>
      <c r="J15" s="6" cm="1">
        <f t="array" ref="J15">MIN(VALUE(G15:I15))</f>
        <v>0.95</v>
      </c>
      <c r="K15" s="14" t="s">
        <v>72</v>
      </c>
      <c r="L15" s="14" t="s">
        <v>83</v>
      </c>
      <c r="M15" s="14" t="s">
        <v>10</v>
      </c>
      <c r="N15" s="14" t="s">
        <v>84</v>
      </c>
      <c r="O15" s="6" cm="1">
        <f t="array" ref="O15">MIN(VALUE(L15:N15))</f>
        <v>0.87509999999999999</v>
      </c>
      <c r="P15" s="14" t="s">
        <v>85</v>
      </c>
      <c r="Q15" s="14" t="s">
        <v>86</v>
      </c>
      <c r="R15" s="14" t="s">
        <v>87</v>
      </c>
      <c r="S15" s="14" t="s">
        <v>88</v>
      </c>
      <c r="T15" s="14" t="s">
        <v>89</v>
      </c>
      <c r="U15" s="6" cm="1">
        <f t="array" ref="U15">MIN(VALUE(Q15:S15))</f>
        <v>0.86260000000000003</v>
      </c>
      <c r="V15" s="41">
        <v>0</v>
      </c>
      <c r="W15" s="41">
        <v>0</v>
      </c>
      <c r="X15" s="45">
        <v>3.204166666666669E-2</v>
      </c>
      <c r="Y15" s="45">
        <v>4.7E-2</v>
      </c>
      <c r="Z15" s="45">
        <v>0.125</v>
      </c>
      <c r="AA15" s="45">
        <v>0.1</v>
      </c>
      <c r="AB15" s="45">
        <v>0.158448275862069</v>
      </c>
      <c r="AC15" s="45">
        <v>6.8999999999999867E-2</v>
      </c>
      <c r="AD15" s="45">
        <v>1.153967779567425E-3</v>
      </c>
      <c r="AE15" s="41">
        <v>0</v>
      </c>
    </row>
    <row r="16" spans="1:31" x14ac:dyDescent="0.35">
      <c r="A16" s="13" t="s">
        <v>90</v>
      </c>
      <c r="B16" s="14" t="s">
        <v>10</v>
      </c>
      <c r="C16" s="14" t="s">
        <v>10</v>
      </c>
      <c r="D16" s="14" t="s">
        <v>10</v>
      </c>
      <c r="E16" s="6" cm="1">
        <f t="array" ref="E16">MIN(VALUE(B16:D16))</f>
        <v>1</v>
      </c>
      <c r="F16" s="14" t="s">
        <v>10</v>
      </c>
      <c r="G16" s="14" t="s">
        <v>91</v>
      </c>
      <c r="H16" s="14" t="s">
        <v>10</v>
      </c>
      <c r="I16" s="14" t="s">
        <v>91</v>
      </c>
      <c r="J16" s="6" cm="1">
        <f t="array" ref="J16">MIN(VALUE(G16:I16))</f>
        <v>0.9</v>
      </c>
      <c r="K16" s="14" t="s">
        <v>85</v>
      </c>
      <c r="L16" s="14" t="s">
        <v>92</v>
      </c>
      <c r="M16" s="14" t="s">
        <v>10</v>
      </c>
      <c r="N16" s="14" t="s">
        <v>93</v>
      </c>
      <c r="O16" s="6" cm="1">
        <f t="array" ref="O16">MIN(VALUE(L16:N16))</f>
        <v>0.76729999999999998</v>
      </c>
      <c r="P16" s="14" t="s">
        <v>94</v>
      </c>
      <c r="Q16" s="14" t="s">
        <v>61</v>
      </c>
      <c r="R16" s="14" t="s">
        <v>95</v>
      </c>
      <c r="S16" s="14" t="s">
        <v>96</v>
      </c>
      <c r="T16" s="14" t="s">
        <v>97</v>
      </c>
      <c r="U16" s="6" cm="1">
        <f t="array" ref="U16">MIN(VALUE(Q16:S16))</f>
        <v>0.751</v>
      </c>
      <c r="V16" s="41">
        <v>0</v>
      </c>
      <c r="W16" s="41">
        <v>0</v>
      </c>
      <c r="X16" s="45">
        <v>6.4437499999999925E-2</v>
      </c>
      <c r="Y16" s="45">
        <v>0.1988178178178181</v>
      </c>
      <c r="Z16" s="45">
        <v>0.25335235235235237</v>
      </c>
      <c r="AA16" s="45">
        <v>0.19919919919919921</v>
      </c>
      <c r="AB16" s="45">
        <v>0.29951777103054122</v>
      </c>
      <c r="AC16" s="45">
        <v>0.1233133133133129</v>
      </c>
      <c r="AD16" s="45">
        <v>1.0911466867416549E-3</v>
      </c>
      <c r="AE16" s="41">
        <v>0</v>
      </c>
    </row>
    <row r="17" spans="1:31" x14ac:dyDescent="0.35">
      <c r="A17" s="13" t="s">
        <v>98</v>
      </c>
      <c r="B17" s="14" t="s">
        <v>10</v>
      </c>
      <c r="C17" s="14" t="s">
        <v>10</v>
      </c>
      <c r="D17" s="14" t="s">
        <v>10</v>
      </c>
      <c r="E17" s="6" cm="1">
        <f t="array" ref="E17">MIN(VALUE(B17:D17))</f>
        <v>1</v>
      </c>
      <c r="F17" s="14" t="s">
        <v>10</v>
      </c>
      <c r="G17" s="14" t="s">
        <v>22</v>
      </c>
      <c r="H17" s="14" t="s">
        <v>10</v>
      </c>
      <c r="I17" s="14" t="s">
        <v>22</v>
      </c>
      <c r="J17" s="6" cm="1">
        <f t="array" ref="J17">MIN(VALUE(G17:I17))</f>
        <v>0.97499999999999998</v>
      </c>
      <c r="K17" s="14" t="s">
        <v>19</v>
      </c>
      <c r="L17" s="14" t="s">
        <v>19</v>
      </c>
      <c r="M17" s="14" t="s">
        <v>10</v>
      </c>
      <c r="N17" s="14" t="s">
        <v>99</v>
      </c>
      <c r="O17" s="6" cm="1">
        <f t="array" ref="O17">MIN(VALUE(L17:N17))</f>
        <v>0.93500000000000005</v>
      </c>
      <c r="P17" s="14" t="s">
        <v>100</v>
      </c>
      <c r="Q17" s="14" t="s">
        <v>10</v>
      </c>
      <c r="R17" s="14" t="s">
        <v>101</v>
      </c>
      <c r="S17" s="14" t="s">
        <v>102</v>
      </c>
      <c r="T17" s="14" t="s">
        <v>103</v>
      </c>
      <c r="U17" s="6" cm="1">
        <f t="array" ref="U17">MIN(VALUE(Q17:S17))</f>
        <v>0.92749999999999999</v>
      </c>
      <c r="V17" s="41">
        <v>0</v>
      </c>
      <c r="W17" s="41">
        <v>0</v>
      </c>
      <c r="X17" s="45">
        <v>1.0046052631578871E-2</v>
      </c>
      <c r="Y17" s="45">
        <v>1.8000000000000019E-2</v>
      </c>
      <c r="Z17" s="45">
        <v>3.5000000000000017E-2</v>
      </c>
      <c r="AA17" s="45">
        <v>0.05</v>
      </c>
      <c r="AB17" s="45">
        <v>8.1864406779661017E-2</v>
      </c>
      <c r="AC17" s="45">
        <v>2.9000000000000019E-2</v>
      </c>
      <c r="AD17" s="45">
        <v>8.3447439870194459E-4</v>
      </c>
      <c r="AE17" s="41">
        <v>0</v>
      </c>
    </row>
    <row r="18" spans="1:31" x14ac:dyDescent="0.35">
      <c r="A18" s="15" t="s">
        <v>105</v>
      </c>
      <c r="B18" s="16" t="s">
        <v>10</v>
      </c>
      <c r="C18" s="16" t="s">
        <v>10</v>
      </c>
      <c r="D18" s="16" t="s">
        <v>10</v>
      </c>
      <c r="E18" s="6" cm="1">
        <f t="array" ref="E18">MIN(VALUE(B18:D18))</f>
        <v>1</v>
      </c>
      <c r="F18" s="16" t="s">
        <v>10</v>
      </c>
      <c r="G18" s="16" t="s">
        <v>10</v>
      </c>
      <c r="H18" s="16" t="s">
        <v>10</v>
      </c>
      <c r="I18" s="16" t="s">
        <v>10</v>
      </c>
      <c r="J18" s="6" cm="1">
        <f t="array" ref="J18">MIN(VALUE(G18:I18))</f>
        <v>1</v>
      </c>
      <c r="K18" s="16" t="s">
        <v>10</v>
      </c>
      <c r="L18" s="16" t="s">
        <v>10</v>
      </c>
      <c r="M18" s="16" t="s">
        <v>10</v>
      </c>
      <c r="N18" s="16" t="s">
        <v>10</v>
      </c>
      <c r="O18" s="6" cm="1">
        <f t="array" ref="O18">MIN(VALUE(L18:N18))</f>
        <v>1</v>
      </c>
      <c r="P18" s="16" t="s">
        <v>10</v>
      </c>
      <c r="Q18" s="16" t="s">
        <v>50</v>
      </c>
      <c r="R18" s="16" t="s">
        <v>106</v>
      </c>
      <c r="S18" s="16" t="s">
        <v>10</v>
      </c>
      <c r="T18" s="16" t="s">
        <v>107</v>
      </c>
      <c r="U18" s="6" cm="1">
        <f t="array" ref="U18">MIN(VALUE(Q18:S18))</f>
        <v>0.95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46">
        <v>1.5395631936985321E-2</v>
      </c>
    </row>
    <row r="19" spans="1:31" x14ac:dyDescent="0.35">
      <c r="A19" s="15" t="s">
        <v>108</v>
      </c>
      <c r="B19" s="16" t="s">
        <v>10</v>
      </c>
      <c r="C19" s="16" t="s">
        <v>10</v>
      </c>
      <c r="D19" s="16" t="s">
        <v>10</v>
      </c>
      <c r="E19" s="6" cm="1">
        <f t="array" ref="E19">MIN(VALUE(B19:D19))</f>
        <v>1</v>
      </c>
      <c r="F19" s="16" t="s">
        <v>10</v>
      </c>
      <c r="G19" s="16" t="s">
        <v>10</v>
      </c>
      <c r="H19" s="16" t="s">
        <v>10</v>
      </c>
      <c r="I19" s="16" t="s">
        <v>10</v>
      </c>
      <c r="J19" s="6" cm="1">
        <f t="array" ref="J19">MIN(VALUE(G19:I19))</f>
        <v>1</v>
      </c>
      <c r="K19" s="16" t="s">
        <v>10</v>
      </c>
      <c r="L19" s="16" t="s">
        <v>10</v>
      </c>
      <c r="M19" s="16" t="s">
        <v>10</v>
      </c>
      <c r="N19" s="16" t="s">
        <v>10</v>
      </c>
      <c r="O19" s="6" cm="1">
        <f t="array" ref="O19">MIN(VALUE(L19:N19))</f>
        <v>1</v>
      </c>
      <c r="P19" s="16" t="s">
        <v>10</v>
      </c>
      <c r="Q19" s="16" t="s">
        <v>91</v>
      </c>
      <c r="R19" s="16" t="s">
        <v>46</v>
      </c>
      <c r="S19" s="16" t="s">
        <v>10</v>
      </c>
      <c r="T19" s="16" t="s">
        <v>109</v>
      </c>
      <c r="U19" s="6" cm="1">
        <f t="array" ref="U19">MIN(VALUE(Q19:S19))</f>
        <v>0.9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46">
        <v>2.1140195208518179E-2</v>
      </c>
    </row>
    <row r="20" spans="1:31" x14ac:dyDescent="0.35">
      <c r="A20" s="15" t="s">
        <v>110</v>
      </c>
      <c r="B20" s="16" t="s">
        <v>10</v>
      </c>
      <c r="C20" s="16" t="s">
        <v>10</v>
      </c>
      <c r="D20" s="16" t="s">
        <v>10</v>
      </c>
      <c r="E20" s="6" cm="1">
        <f t="array" ref="E20">MIN(VALUE(B20:D20))</f>
        <v>1</v>
      </c>
      <c r="F20" s="16" t="s">
        <v>10</v>
      </c>
      <c r="G20" s="16" t="s">
        <v>10</v>
      </c>
      <c r="H20" s="16" t="s">
        <v>10</v>
      </c>
      <c r="I20" s="16" t="s">
        <v>10</v>
      </c>
      <c r="J20" s="6" cm="1">
        <f t="array" ref="J20">MIN(VALUE(G20:I20))</f>
        <v>1</v>
      </c>
      <c r="K20" s="16" t="s">
        <v>10</v>
      </c>
      <c r="L20" s="16" t="s">
        <v>10</v>
      </c>
      <c r="M20" s="16" t="s">
        <v>10</v>
      </c>
      <c r="N20" s="16" t="s">
        <v>10</v>
      </c>
      <c r="O20" s="6" cm="1">
        <f t="array" ref="O20">MIN(VALUE(L20:N20))</f>
        <v>1</v>
      </c>
      <c r="P20" s="16" t="s">
        <v>10</v>
      </c>
      <c r="Q20" s="16" t="s">
        <v>22</v>
      </c>
      <c r="R20" s="16" t="s">
        <v>87</v>
      </c>
      <c r="S20" s="16" t="s">
        <v>10</v>
      </c>
      <c r="T20" s="16" t="s">
        <v>111</v>
      </c>
      <c r="U20" s="6" cm="1">
        <f t="array" ref="U20">MIN(VALUE(Q20:S20))</f>
        <v>0.97499999999999998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46">
        <v>2.22715173025732E-2</v>
      </c>
    </row>
    <row r="21" spans="1:31" x14ac:dyDescent="0.35">
      <c r="A21" s="17" t="s">
        <v>112</v>
      </c>
      <c r="B21" s="18" t="s">
        <v>10</v>
      </c>
      <c r="C21" s="18" t="s">
        <v>10</v>
      </c>
      <c r="D21" s="18" t="s">
        <v>10</v>
      </c>
      <c r="E21" s="6" cm="1">
        <f t="array" ref="E21">MIN(VALUE(B21:D21))</f>
        <v>1</v>
      </c>
      <c r="F21" s="18" t="s">
        <v>10</v>
      </c>
      <c r="G21" s="18" t="s">
        <v>10</v>
      </c>
      <c r="H21" s="18" t="s">
        <v>10</v>
      </c>
      <c r="I21" s="18" t="s">
        <v>10</v>
      </c>
      <c r="J21" s="6" cm="1">
        <f t="array" ref="J21">MIN(VALUE(G21:I21))</f>
        <v>1</v>
      </c>
      <c r="K21" s="18" t="s">
        <v>10</v>
      </c>
      <c r="L21" s="18" t="s">
        <v>10</v>
      </c>
      <c r="M21" s="18" t="s">
        <v>10</v>
      </c>
      <c r="N21" s="18" t="s">
        <v>10</v>
      </c>
      <c r="O21" s="6" cm="1">
        <f t="array" ref="O21">MIN(VALUE(L21:N21))</f>
        <v>1</v>
      </c>
      <c r="P21" s="18" t="s">
        <v>10</v>
      </c>
      <c r="Q21" s="18" t="s">
        <v>10</v>
      </c>
      <c r="R21" s="18" t="s">
        <v>15</v>
      </c>
      <c r="S21" s="18" t="s">
        <v>50</v>
      </c>
      <c r="T21" s="18" t="s">
        <v>113</v>
      </c>
      <c r="U21" s="6" cm="1">
        <f t="array" ref="U21">MIN(VALUE(Q21:S21))</f>
        <v>0.95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47">
        <v>3.0710464656244631E-2</v>
      </c>
    </row>
    <row r="22" spans="1:31" x14ac:dyDescent="0.35">
      <c r="A22" s="17" t="s">
        <v>114</v>
      </c>
      <c r="B22" s="18" t="s">
        <v>10</v>
      </c>
      <c r="C22" s="18" t="s">
        <v>10</v>
      </c>
      <c r="D22" s="18" t="s">
        <v>10</v>
      </c>
      <c r="E22" s="6" cm="1">
        <f t="array" ref="E22">MIN(VALUE(B22:D22))</f>
        <v>1</v>
      </c>
      <c r="F22" s="18" t="s">
        <v>10</v>
      </c>
      <c r="G22" s="18" t="s">
        <v>10</v>
      </c>
      <c r="H22" s="18" t="s">
        <v>10</v>
      </c>
      <c r="I22" s="18" t="s">
        <v>10</v>
      </c>
      <c r="J22" s="6" cm="1">
        <f t="array" ref="J22">MIN(VALUE(G22:I22))</f>
        <v>1</v>
      </c>
      <c r="K22" s="18" t="s">
        <v>10</v>
      </c>
      <c r="L22" s="18" t="s">
        <v>10</v>
      </c>
      <c r="M22" s="18" t="s">
        <v>10</v>
      </c>
      <c r="N22" s="18" t="s">
        <v>10</v>
      </c>
      <c r="O22" s="6" cm="1">
        <f t="array" ref="O22">MIN(VALUE(L22:N22))</f>
        <v>1</v>
      </c>
      <c r="P22" s="18" t="s">
        <v>10</v>
      </c>
      <c r="Q22" s="18" t="s">
        <v>10</v>
      </c>
      <c r="R22" s="18" t="s">
        <v>115</v>
      </c>
      <c r="S22" s="18" t="s">
        <v>91</v>
      </c>
      <c r="T22" s="18" t="s">
        <v>25</v>
      </c>
      <c r="U22" s="6" cm="1">
        <f t="array" ref="U22">MIN(VALUE(Q22:S22))</f>
        <v>0.9</v>
      </c>
      <c r="V22" s="35">
        <v>0</v>
      </c>
      <c r="W22" s="35">
        <v>0</v>
      </c>
      <c r="X22" s="35">
        <v>0</v>
      </c>
      <c r="Y22" s="35">
        <v>0</v>
      </c>
      <c r="Z22" s="35">
        <v>0</v>
      </c>
      <c r="AA22" s="35">
        <v>0</v>
      </c>
      <c r="AB22" s="35">
        <v>0</v>
      </c>
      <c r="AC22" s="35">
        <v>0</v>
      </c>
      <c r="AD22" s="35">
        <v>0</v>
      </c>
      <c r="AE22" s="47">
        <v>4.2328042328042192E-3</v>
      </c>
    </row>
    <row r="23" spans="1:31" x14ac:dyDescent="0.35">
      <c r="A23" s="17" t="s">
        <v>116</v>
      </c>
      <c r="B23" s="18" t="s">
        <v>10</v>
      </c>
      <c r="C23" s="18" t="s">
        <v>10</v>
      </c>
      <c r="D23" s="18" t="s">
        <v>10</v>
      </c>
      <c r="E23" s="6" cm="1">
        <f t="array" ref="E23">MIN(VALUE(B23:D23))</f>
        <v>1</v>
      </c>
      <c r="F23" s="18" t="s">
        <v>10</v>
      </c>
      <c r="G23" s="18" t="s">
        <v>10</v>
      </c>
      <c r="H23" s="18" t="s">
        <v>10</v>
      </c>
      <c r="I23" s="18" t="s">
        <v>10</v>
      </c>
      <c r="J23" s="6" cm="1">
        <f t="array" ref="J23">MIN(VALUE(G23:I23))</f>
        <v>1</v>
      </c>
      <c r="K23" s="18" t="s">
        <v>10</v>
      </c>
      <c r="L23" s="18" t="s">
        <v>10</v>
      </c>
      <c r="M23" s="18" t="s">
        <v>10</v>
      </c>
      <c r="N23" s="18" t="s">
        <v>10</v>
      </c>
      <c r="O23" s="6" cm="1">
        <f t="array" ref="O23">MIN(VALUE(L23:N23))</f>
        <v>1</v>
      </c>
      <c r="P23" s="18" t="s">
        <v>10</v>
      </c>
      <c r="Q23" s="18" t="s">
        <v>10</v>
      </c>
      <c r="R23" s="18" t="s">
        <v>46</v>
      </c>
      <c r="S23" s="18" t="s">
        <v>22</v>
      </c>
      <c r="T23" s="18" t="s">
        <v>117</v>
      </c>
      <c r="U23" s="6" cm="1">
        <f t="array" ref="U23">MIN(VALUE(Q23:S23))</f>
        <v>0.97499999999999998</v>
      </c>
      <c r="V23" s="35">
        <v>0</v>
      </c>
      <c r="W23" s="35">
        <v>0</v>
      </c>
      <c r="X23" s="35">
        <v>0</v>
      </c>
      <c r="Y23" s="35">
        <v>0</v>
      </c>
      <c r="Z23" s="35">
        <v>0</v>
      </c>
      <c r="AA23" s="35">
        <v>0</v>
      </c>
      <c r="AB23" s="35">
        <v>0</v>
      </c>
      <c r="AC23" s="35">
        <v>0</v>
      </c>
      <c r="AD23" s="35">
        <v>0</v>
      </c>
      <c r="AE23" s="47">
        <v>0.11611685479831391</v>
      </c>
    </row>
    <row r="24" spans="1:31" x14ac:dyDescent="0.35">
      <c r="A24" s="19" t="s">
        <v>118</v>
      </c>
      <c r="B24" s="20" t="s">
        <v>10</v>
      </c>
      <c r="C24" s="20" t="s">
        <v>10</v>
      </c>
      <c r="D24" s="20" t="s">
        <v>10</v>
      </c>
      <c r="E24" s="6" cm="1">
        <f t="array" ref="E24">MIN(VALUE(B24:D24))</f>
        <v>1</v>
      </c>
      <c r="F24" s="20" t="s">
        <v>10</v>
      </c>
      <c r="G24" s="20" t="s">
        <v>10</v>
      </c>
      <c r="H24" s="20" t="s">
        <v>10</v>
      </c>
      <c r="I24" s="20" t="s">
        <v>10</v>
      </c>
      <c r="J24" s="6" cm="1">
        <f t="array" ref="J24">MIN(VALUE(G24:I24))</f>
        <v>1</v>
      </c>
      <c r="K24" s="20" t="s">
        <v>10</v>
      </c>
      <c r="L24" s="20" t="s">
        <v>10</v>
      </c>
      <c r="M24" s="20" t="s">
        <v>10</v>
      </c>
      <c r="N24" s="20" t="s">
        <v>10</v>
      </c>
      <c r="O24" s="6" cm="1">
        <f t="array" ref="O24">MIN(VALUE(L24:N24))</f>
        <v>1</v>
      </c>
      <c r="P24" s="20" t="s">
        <v>10</v>
      </c>
      <c r="Q24" s="20" t="s">
        <v>10</v>
      </c>
      <c r="R24" s="20" t="s">
        <v>119</v>
      </c>
      <c r="S24" s="20" t="s">
        <v>10</v>
      </c>
      <c r="T24" s="20" t="s">
        <v>120</v>
      </c>
      <c r="U24" s="6" cm="1">
        <f t="array" ref="U24">MIN(VALUE(Q24:S24))</f>
        <v>0.97919999999999996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D24" s="36">
        <v>0</v>
      </c>
      <c r="AE24" s="48">
        <v>0.27004875955038682</v>
      </c>
    </row>
    <row r="25" spans="1:31" x14ac:dyDescent="0.35">
      <c r="A25" s="19" t="s">
        <v>121</v>
      </c>
      <c r="B25" s="20" t="s">
        <v>10</v>
      </c>
      <c r="C25" s="20" t="s">
        <v>10</v>
      </c>
      <c r="D25" s="20" t="s">
        <v>10</v>
      </c>
      <c r="E25" s="6" cm="1">
        <f t="array" ref="E25">MIN(VALUE(B25:D25))</f>
        <v>1</v>
      </c>
      <c r="F25" s="20" t="s">
        <v>10</v>
      </c>
      <c r="G25" s="20" t="s">
        <v>10</v>
      </c>
      <c r="H25" s="20" t="s">
        <v>10</v>
      </c>
      <c r="I25" s="20" t="s">
        <v>10</v>
      </c>
      <c r="J25" s="6" cm="1">
        <f t="array" ref="J25">MIN(VALUE(G25:I25))</f>
        <v>1</v>
      </c>
      <c r="K25" s="20" t="s">
        <v>10</v>
      </c>
      <c r="L25" s="20" t="s">
        <v>10</v>
      </c>
      <c r="M25" s="20" t="s">
        <v>10</v>
      </c>
      <c r="N25" s="20" t="s">
        <v>10</v>
      </c>
      <c r="O25" s="6" cm="1">
        <f t="array" ref="O25">MIN(VALUE(L25:N25))</f>
        <v>1</v>
      </c>
      <c r="P25" s="20" t="s">
        <v>10</v>
      </c>
      <c r="Q25" s="20" t="s">
        <v>10</v>
      </c>
      <c r="R25" s="20" t="s">
        <v>122</v>
      </c>
      <c r="S25" s="20" t="s">
        <v>10</v>
      </c>
      <c r="T25" s="20" t="s">
        <v>123</v>
      </c>
      <c r="U25" s="6" cm="1">
        <f t="array" ref="U25">MIN(VALUE(Q25:S25))</f>
        <v>0.96199999999999997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48">
        <v>0.32454088994624841</v>
      </c>
    </row>
    <row r="26" spans="1:31" x14ac:dyDescent="0.35">
      <c r="A26" s="19" t="s">
        <v>124</v>
      </c>
      <c r="B26" s="20" t="s">
        <v>10</v>
      </c>
      <c r="C26" s="20" t="s">
        <v>10</v>
      </c>
      <c r="D26" s="20" t="s">
        <v>10</v>
      </c>
      <c r="E26" s="6" cm="1">
        <f t="array" ref="E26">MIN(VALUE(B26:D26))</f>
        <v>1</v>
      </c>
      <c r="F26" s="20" t="s">
        <v>10</v>
      </c>
      <c r="G26" s="20" t="s">
        <v>10</v>
      </c>
      <c r="H26" s="20" t="s">
        <v>10</v>
      </c>
      <c r="I26" s="20" t="s">
        <v>10</v>
      </c>
      <c r="J26" s="6" cm="1">
        <f t="array" ref="J26">MIN(VALUE(G26:I26))</f>
        <v>1</v>
      </c>
      <c r="K26" s="20" t="s">
        <v>10</v>
      </c>
      <c r="L26" s="20" t="s">
        <v>10</v>
      </c>
      <c r="M26" s="20" t="s">
        <v>10</v>
      </c>
      <c r="N26" s="20" t="s">
        <v>10</v>
      </c>
      <c r="O26" s="6" cm="1">
        <f t="array" ref="O26">MIN(VALUE(L26:N26))</f>
        <v>1</v>
      </c>
      <c r="P26" s="20" t="s">
        <v>10</v>
      </c>
      <c r="Q26" s="20" t="s">
        <v>10</v>
      </c>
      <c r="R26" s="20" t="s">
        <v>125</v>
      </c>
      <c r="S26" s="20" t="s">
        <v>10</v>
      </c>
      <c r="T26" s="20" t="s">
        <v>126</v>
      </c>
      <c r="U26" s="6" cm="1">
        <f t="array" ref="U26">MIN(VALUE(Q26:S26))</f>
        <v>0.98860000000000003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48">
        <v>0.33303623288347722</v>
      </c>
    </row>
    <row r="27" spans="1:31" x14ac:dyDescent="0.35">
      <c r="A27" s="21" t="s">
        <v>127</v>
      </c>
      <c r="B27" s="22" t="s">
        <v>92</v>
      </c>
      <c r="C27" s="22" t="s">
        <v>10</v>
      </c>
      <c r="D27" s="22" t="s">
        <v>10</v>
      </c>
      <c r="E27" s="6" cm="1">
        <f t="array" ref="E27">MIN(VALUE(B27:D27))</f>
        <v>0.85</v>
      </c>
      <c r="F27" s="22" t="s">
        <v>50</v>
      </c>
      <c r="G27" s="22" t="s">
        <v>128</v>
      </c>
      <c r="H27" s="22" t="s">
        <v>10</v>
      </c>
      <c r="I27" s="22" t="s">
        <v>10</v>
      </c>
      <c r="J27" s="6" cm="1">
        <f t="array" ref="J27">MIN(VALUE(G27:I27))</f>
        <v>0.92159999999999997</v>
      </c>
      <c r="K27" s="22" t="s">
        <v>129</v>
      </c>
      <c r="L27" s="22" t="s">
        <v>130</v>
      </c>
      <c r="M27" s="22" t="s">
        <v>10</v>
      </c>
      <c r="N27" s="22" t="s">
        <v>10</v>
      </c>
      <c r="O27" s="6" cm="1">
        <f t="array" ref="O27">MIN(VALUE(L27:N27))</f>
        <v>0.94779999999999998</v>
      </c>
      <c r="P27" s="22" t="s">
        <v>131</v>
      </c>
      <c r="Q27" s="22" t="s">
        <v>10</v>
      </c>
      <c r="R27" s="22" t="s">
        <v>87</v>
      </c>
      <c r="S27" s="22" t="s">
        <v>10</v>
      </c>
      <c r="T27" s="22" t="s">
        <v>132</v>
      </c>
      <c r="U27" s="6" cm="1">
        <f t="array" ref="U27">MIN(VALUE(Q27:S27))</f>
        <v>0.99639999999999995</v>
      </c>
      <c r="V27" s="49">
        <v>0.98362500000000108</v>
      </c>
      <c r="W27" s="49">
        <v>3.8868286051023063E-2</v>
      </c>
      <c r="X27" s="49">
        <v>0.96487500000000037</v>
      </c>
      <c r="Y27" s="29">
        <v>3.8000000000000027E-2</v>
      </c>
      <c r="Z27" s="29">
        <v>6.500000000000003E-2</v>
      </c>
      <c r="AA27" s="29">
        <v>6.1749999999999999E-2</v>
      </c>
      <c r="AB27" s="29">
        <v>0.1128333333333333</v>
      </c>
      <c r="AC27" s="29">
        <v>2.600000000000002E-2</v>
      </c>
      <c r="AD27" s="29">
        <v>4.7343842636227661E-4</v>
      </c>
      <c r="AE27" s="29">
        <v>0.13857919703212709</v>
      </c>
    </row>
    <row r="28" spans="1:31" x14ac:dyDescent="0.35">
      <c r="A28" s="21" t="s">
        <v>133</v>
      </c>
      <c r="B28" s="22" t="s">
        <v>134</v>
      </c>
      <c r="C28" s="22" t="s">
        <v>10</v>
      </c>
      <c r="D28" s="22" t="s">
        <v>10</v>
      </c>
      <c r="E28" s="6" cm="1">
        <f t="array" ref="E28">MIN(VALUE(B28:D28))</f>
        <v>0.7</v>
      </c>
      <c r="F28" s="22" t="s">
        <v>91</v>
      </c>
      <c r="G28" s="22" t="s">
        <v>135</v>
      </c>
      <c r="H28" s="22" t="s">
        <v>10</v>
      </c>
      <c r="I28" s="22" t="s">
        <v>10</v>
      </c>
      <c r="J28" s="6" cm="1">
        <f t="array" ref="J28">MIN(VALUE(G28:I28))</f>
        <v>0.84</v>
      </c>
      <c r="K28" s="22" t="s">
        <v>136</v>
      </c>
      <c r="L28" s="22" t="s">
        <v>137</v>
      </c>
      <c r="M28" s="22" t="s">
        <v>10</v>
      </c>
      <c r="N28" s="22" t="s">
        <v>10</v>
      </c>
      <c r="O28" s="6" cm="1">
        <f t="array" ref="O28">MIN(VALUE(L28:N28))</f>
        <v>0.89329999999999998</v>
      </c>
      <c r="P28" s="22" t="s">
        <v>138</v>
      </c>
      <c r="Q28" s="22" t="s">
        <v>10</v>
      </c>
      <c r="R28" s="22" t="s">
        <v>139</v>
      </c>
      <c r="S28" s="22" t="s">
        <v>10</v>
      </c>
      <c r="T28" s="22" t="s">
        <v>140</v>
      </c>
      <c r="U28" s="6" cm="1">
        <f t="array" ref="U28">MIN(VALUE(Q28:S28))</f>
        <v>0.99719999999999998</v>
      </c>
      <c r="V28" s="50">
        <v>1.9788749999999991</v>
      </c>
      <c r="W28" s="50">
        <v>6.9852773090710668E-2</v>
      </c>
      <c r="X28" s="50">
        <v>1.93075</v>
      </c>
      <c r="Y28" s="30">
        <v>7.1000000000000021E-2</v>
      </c>
      <c r="Z28" s="30">
        <v>0.15999999999999989</v>
      </c>
      <c r="AA28" s="30">
        <v>0.13075000000000001</v>
      </c>
      <c r="AB28" s="30">
        <v>0.23016666666666671</v>
      </c>
      <c r="AC28" s="30">
        <v>6.3000000000000042E-2</v>
      </c>
      <c r="AD28" s="30">
        <v>2.5696083216841651E-3</v>
      </c>
      <c r="AE28" s="30">
        <v>0.21305511472361671</v>
      </c>
    </row>
    <row r="29" spans="1:31" x14ac:dyDescent="0.35">
      <c r="A29" s="21" t="s">
        <v>141</v>
      </c>
      <c r="B29" s="22" t="s">
        <v>142</v>
      </c>
      <c r="C29" s="22" t="s">
        <v>10</v>
      </c>
      <c r="D29" s="22" t="s">
        <v>10</v>
      </c>
      <c r="E29" s="6" cm="1">
        <f t="array" ref="E29">MIN(VALUE(B29:D29))</f>
        <v>0.92500000000000004</v>
      </c>
      <c r="F29" s="22" t="s">
        <v>22</v>
      </c>
      <c r="G29" s="22" t="s">
        <v>143</v>
      </c>
      <c r="H29" s="22" t="s">
        <v>10</v>
      </c>
      <c r="I29" s="22" t="s">
        <v>10</v>
      </c>
      <c r="J29" s="6" cm="1">
        <f t="array" ref="J29">MIN(VALUE(G29:I29))</f>
        <v>0.96079999999999999</v>
      </c>
      <c r="K29" s="22" t="s">
        <v>144</v>
      </c>
      <c r="L29" s="22" t="s">
        <v>145</v>
      </c>
      <c r="M29" s="22" t="s">
        <v>10</v>
      </c>
      <c r="N29" s="22" t="s">
        <v>10</v>
      </c>
      <c r="O29" s="6" cm="1">
        <f t="array" ref="O29">MIN(VALUE(L29:N29))</f>
        <v>0.9738</v>
      </c>
      <c r="P29" s="22" t="s">
        <v>146</v>
      </c>
      <c r="Q29" s="22" t="s">
        <v>10</v>
      </c>
      <c r="R29" s="22" t="s">
        <v>23</v>
      </c>
      <c r="S29" s="22" t="s">
        <v>10</v>
      </c>
      <c r="T29" s="22" t="s">
        <v>74</v>
      </c>
      <c r="U29" s="6" cm="1">
        <f t="array" ref="U29">MIN(VALUE(Q29:S29))</f>
        <v>0.99580000000000002</v>
      </c>
      <c r="V29" s="49">
        <v>0.44037500000000002</v>
      </c>
      <c r="W29" s="49">
        <v>4.3429370371393043E-2</v>
      </c>
      <c r="X29" s="49">
        <v>0.43187499999999979</v>
      </c>
      <c r="Y29" s="29">
        <v>1.299999999999997E-2</v>
      </c>
      <c r="Z29" s="29">
        <v>3.2000000000000001E-2</v>
      </c>
      <c r="AA29" s="29">
        <v>3.075E-2</v>
      </c>
      <c r="AB29" s="29">
        <v>5.8166666666666672E-2</v>
      </c>
      <c r="AC29" s="29">
        <v>8.9999999999998935E-3</v>
      </c>
      <c r="AD29" s="29">
        <v>3.1100480037646821E-4</v>
      </c>
      <c r="AE29" s="29">
        <v>9.8865666516181089E-2</v>
      </c>
    </row>
    <row r="30" spans="1:31" x14ac:dyDescent="0.35">
      <c r="A30" s="23" t="s">
        <v>147</v>
      </c>
      <c r="B30" s="24" t="s">
        <v>10</v>
      </c>
      <c r="C30" s="24" t="s">
        <v>10</v>
      </c>
      <c r="D30" s="24" t="s">
        <v>91</v>
      </c>
      <c r="E30" s="6" cm="1">
        <f t="array" ref="E30">MIN(VALUE(B30:D30))</f>
        <v>0.9</v>
      </c>
      <c r="F30" s="24" t="s">
        <v>72</v>
      </c>
      <c r="G30" s="24" t="s">
        <v>10</v>
      </c>
      <c r="H30" s="24" t="s">
        <v>10</v>
      </c>
      <c r="I30" s="24" t="s">
        <v>50</v>
      </c>
      <c r="J30" s="6" cm="1">
        <f t="array" ref="J30">MIN(VALUE(G30:I30))</f>
        <v>0.95</v>
      </c>
      <c r="K30" s="24" t="s">
        <v>19</v>
      </c>
      <c r="L30" s="24" t="s">
        <v>10</v>
      </c>
      <c r="M30" s="24" t="s">
        <v>10</v>
      </c>
      <c r="N30" s="24" t="s">
        <v>72</v>
      </c>
      <c r="O30" s="6" cm="1">
        <f t="array" ref="O30">MIN(VALUE(L30:N30))</f>
        <v>0.9667</v>
      </c>
      <c r="P30" s="24" t="s">
        <v>73</v>
      </c>
      <c r="Q30" s="24" t="s">
        <v>10</v>
      </c>
      <c r="R30" s="24" t="s">
        <v>115</v>
      </c>
      <c r="S30" s="24" t="s">
        <v>10</v>
      </c>
      <c r="T30" s="24" t="s">
        <v>148</v>
      </c>
      <c r="U30" s="6" cm="1">
        <f t="array" ref="U30">MIN(VALUE(Q30:S30))</f>
        <v>0.99670000000000003</v>
      </c>
      <c r="V30" s="31"/>
      <c r="W30" s="30">
        <v>6.1150701785058971E-2</v>
      </c>
      <c r="X30" s="31"/>
      <c r="Y30" s="30">
        <v>4.6000000000000027E-2</v>
      </c>
      <c r="Z30" s="30">
        <v>0.10199999999999999</v>
      </c>
      <c r="AA30" s="30">
        <v>0.121</v>
      </c>
      <c r="AB30" s="30">
        <v>0.21533333333333329</v>
      </c>
      <c r="AC30" s="30">
        <v>7.5000000000000053E-2</v>
      </c>
      <c r="AD30" s="30">
        <v>6.5118572402097662E-4</v>
      </c>
      <c r="AE30" s="31"/>
    </row>
    <row r="31" spans="1:31" x14ac:dyDescent="0.35">
      <c r="A31" s="23" t="s">
        <v>149</v>
      </c>
      <c r="B31" s="24" t="s">
        <v>10</v>
      </c>
      <c r="C31" s="24" t="s">
        <v>10</v>
      </c>
      <c r="D31" s="24" t="s">
        <v>150</v>
      </c>
      <c r="E31" s="6" cm="1">
        <f t="array" ref="E31">MIN(VALUE(B31:D31))</f>
        <v>0.8</v>
      </c>
      <c r="F31" s="24" t="s">
        <v>85</v>
      </c>
      <c r="G31" s="24" t="s">
        <v>10</v>
      </c>
      <c r="H31" s="24" t="s">
        <v>10</v>
      </c>
      <c r="I31" s="24" t="s">
        <v>91</v>
      </c>
      <c r="J31" s="6" cm="1">
        <f t="array" ref="J31">MIN(VALUE(G31:I31))</f>
        <v>0.9</v>
      </c>
      <c r="K31" s="24" t="s">
        <v>72</v>
      </c>
      <c r="L31" s="24" t="s">
        <v>10</v>
      </c>
      <c r="M31" s="24" t="s">
        <v>10</v>
      </c>
      <c r="N31" s="24" t="s">
        <v>85</v>
      </c>
      <c r="O31" s="6" cm="1">
        <f t="array" ref="O31">MIN(VALUE(L31:N31))</f>
        <v>0.93330000000000002</v>
      </c>
      <c r="P31" s="24" t="s">
        <v>151</v>
      </c>
      <c r="Q31" s="24" t="s">
        <v>10</v>
      </c>
      <c r="R31" s="24" t="s">
        <v>152</v>
      </c>
      <c r="S31" s="24" t="s">
        <v>10</v>
      </c>
      <c r="T31" s="24" t="s">
        <v>140</v>
      </c>
      <c r="U31" s="6" cm="1">
        <f t="array" ref="U31">MIN(VALUE(Q31:S31))</f>
        <v>0.99739999999999995</v>
      </c>
      <c r="V31" s="31"/>
      <c r="W31" s="29">
        <v>9.6511992606862093E-2</v>
      </c>
      <c r="X31" s="31"/>
      <c r="Y31" s="31"/>
      <c r="Z31" s="31"/>
      <c r="AA31" s="29">
        <v>0.22475000000000001</v>
      </c>
      <c r="AB31" s="29">
        <v>0.37633333333333341</v>
      </c>
      <c r="AC31" s="31"/>
      <c r="AD31" s="29">
        <v>2.9030016421528679E-2</v>
      </c>
      <c r="AE31" s="31"/>
    </row>
    <row r="32" spans="1:31" x14ac:dyDescent="0.35">
      <c r="A32" s="23" t="s">
        <v>153</v>
      </c>
      <c r="B32" s="24" t="s">
        <v>10</v>
      </c>
      <c r="C32" s="24" t="s">
        <v>10</v>
      </c>
      <c r="D32" s="24" t="s">
        <v>50</v>
      </c>
      <c r="E32" s="6" cm="1">
        <f t="array" ref="E32">MIN(VALUE(B32:D32))</f>
        <v>0.95</v>
      </c>
      <c r="F32" s="24" t="s">
        <v>19</v>
      </c>
      <c r="G32" s="24" t="s">
        <v>10</v>
      </c>
      <c r="H32" s="24" t="s">
        <v>10</v>
      </c>
      <c r="I32" s="24" t="s">
        <v>22</v>
      </c>
      <c r="J32" s="6" cm="1">
        <f t="array" ref="J32">MIN(VALUE(G32:I32))</f>
        <v>0.97499999999999998</v>
      </c>
      <c r="K32" s="24" t="s">
        <v>11</v>
      </c>
      <c r="L32" s="24" t="s">
        <v>10</v>
      </c>
      <c r="M32" s="24" t="s">
        <v>10</v>
      </c>
      <c r="N32" s="24" t="s">
        <v>19</v>
      </c>
      <c r="O32" s="6" cm="1">
        <f t="array" ref="O32">MIN(VALUE(L32:N32))</f>
        <v>0.98329999999999995</v>
      </c>
      <c r="P32" s="24" t="s">
        <v>81</v>
      </c>
      <c r="Q32" s="24" t="s">
        <v>10</v>
      </c>
      <c r="R32" s="24" t="s">
        <v>23</v>
      </c>
      <c r="S32" s="24" t="s">
        <v>10</v>
      </c>
      <c r="T32" s="24" t="s">
        <v>74</v>
      </c>
      <c r="U32" s="6" cm="1">
        <f t="array" ref="U32">MIN(VALUE(Q32:S32))</f>
        <v>0.99580000000000002</v>
      </c>
      <c r="V32" s="31"/>
      <c r="W32" s="30">
        <v>3.6797381072101787E-2</v>
      </c>
      <c r="X32" s="31"/>
      <c r="Y32" s="30">
        <v>1.900000000000002E-2</v>
      </c>
      <c r="Z32" s="30">
        <v>4.7000000000000007E-2</v>
      </c>
      <c r="AA32" s="30">
        <v>6.1499999999999999E-2</v>
      </c>
      <c r="AB32" s="30">
        <v>0.11366666666666669</v>
      </c>
      <c r="AC32" s="30">
        <v>3.3000000000000029E-2</v>
      </c>
      <c r="AD32" s="30">
        <v>9.4551782882769094E-4</v>
      </c>
      <c r="AE32" s="31"/>
    </row>
    <row r="33" spans="1:31" x14ac:dyDescent="0.35">
      <c r="A33" s="25" t="s">
        <v>154</v>
      </c>
      <c r="B33" s="26" t="s">
        <v>155</v>
      </c>
      <c r="C33" s="26" t="s">
        <v>104</v>
      </c>
      <c r="D33" s="26" t="s">
        <v>156</v>
      </c>
      <c r="E33" s="6" cm="1">
        <f t="array" ref="E33">MIN(VALUE(B33:D33))</f>
        <v>0.97509999999999997</v>
      </c>
      <c r="F33" s="26" t="s">
        <v>157</v>
      </c>
      <c r="G33" s="26" t="s">
        <v>155</v>
      </c>
      <c r="H33" s="26" t="s">
        <v>158</v>
      </c>
      <c r="I33" s="26" t="s">
        <v>156</v>
      </c>
      <c r="J33" s="6" cm="1">
        <f t="array" ref="J33">MIN(VALUE(G33:I33))</f>
        <v>0.95009999999999994</v>
      </c>
      <c r="K33" s="26" t="s">
        <v>159</v>
      </c>
      <c r="L33" s="26" t="s">
        <v>160</v>
      </c>
      <c r="M33" s="26" t="s">
        <v>104</v>
      </c>
      <c r="N33" s="26" t="s">
        <v>161</v>
      </c>
      <c r="O33" s="6" cm="1">
        <f t="array" ref="O33">MIN(VALUE(L33:N33))</f>
        <v>0.97509999999999997</v>
      </c>
      <c r="P33" s="26" t="s">
        <v>162</v>
      </c>
      <c r="Q33" s="26" t="s">
        <v>10</v>
      </c>
      <c r="R33" s="26" t="s">
        <v>40</v>
      </c>
      <c r="S33" s="26" t="s">
        <v>10</v>
      </c>
      <c r="T33" s="26" t="s">
        <v>163</v>
      </c>
      <c r="U33" s="6" cm="1">
        <f t="array" ref="U33">MIN(VALUE(Q33:S33))</f>
        <v>0.98299999999999998</v>
      </c>
      <c r="V33" s="31"/>
      <c r="W33" s="31"/>
      <c r="X33" s="31"/>
      <c r="Y33" s="31"/>
      <c r="Z33" s="31"/>
      <c r="AA33" s="31"/>
      <c r="AB33" s="31"/>
      <c r="AC33" s="31"/>
      <c r="AD33" s="31"/>
      <c r="AE33" s="31"/>
    </row>
    <row r="34" spans="1:31" x14ac:dyDescent="0.35">
      <c r="A34" s="25" t="s">
        <v>164</v>
      </c>
      <c r="B34" s="26" t="s">
        <v>165</v>
      </c>
      <c r="C34" s="26" t="s">
        <v>166</v>
      </c>
      <c r="D34" s="26" t="s">
        <v>167</v>
      </c>
      <c r="E34" s="6" cm="1">
        <f t="array" ref="E34">MIN(VALUE(B34:D34))</f>
        <v>0.94810000000000005</v>
      </c>
      <c r="F34" s="26" t="s">
        <v>168</v>
      </c>
      <c r="G34" s="26" t="s">
        <v>165</v>
      </c>
      <c r="H34" s="26" t="s">
        <v>169</v>
      </c>
      <c r="I34" s="26" t="s">
        <v>167</v>
      </c>
      <c r="J34" s="6" cm="1">
        <f t="array" ref="J34">MIN(VALUE(G34:I34))</f>
        <v>0.89610000000000001</v>
      </c>
      <c r="K34" s="26" t="s">
        <v>170</v>
      </c>
      <c r="L34" s="26" t="s">
        <v>171</v>
      </c>
      <c r="M34" s="26" t="s">
        <v>166</v>
      </c>
      <c r="N34" s="26" t="s">
        <v>172</v>
      </c>
      <c r="O34" s="6" cm="1">
        <f t="array" ref="O34">MIN(VALUE(L34:N34))</f>
        <v>0.94810000000000005</v>
      </c>
      <c r="P34" s="26" t="s">
        <v>173</v>
      </c>
      <c r="Q34" s="26" t="s">
        <v>10</v>
      </c>
      <c r="R34" s="26" t="s">
        <v>174</v>
      </c>
      <c r="S34" s="26" t="s">
        <v>10</v>
      </c>
      <c r="T34" s="26" t="s">
        <v>175</v>
      </c>
      <c r="U34" s="6" cm="1">
        <f t="array" ref="U34">MIN(VALUE(Q34:S34))</f>
        <v>0.96709999999999996</v>
      </c>
      <c r="V34" s="31"/>
      <c r="W34" s="31"/>
      <c r="X34" s="31"/>
      <c r="Y34" s="31"/>
      <c r="Z34" s="31"/>
      <c r="AA34" s="31"/>
      <c r="AB34" s="31"/>
      <c r="AC34" s="31"/>
      <c r="AD34" s="31"/>
      <c r="AE34" s="31"/>
    </row>
    <row r="35" spans="1:31" x14ac:dyDescent="0.35">
      <c r="A35" s="25" t="s">
        <v>176</v>
      </c>
      <c r="B35" s="26" t="s">
        <v>177</v>
      </c>
      <c r="C35" s="26" t="s">
        <v>178</v>
      </c>
      <c r="D35" s="26" t="s">
        <v>179</v>
      </c>
      <c r="E35" s="6" cm="1">
        <f t="array" ref="E35">MIN(VALUE(B35:D35))</f>
        <v>0.9879</v>
      </c>
      <c r="F35" s="26" t="s">
        <v>161</v>
      </c>
      <c r="G35" s="26" t="s">
        <v>177</v>
      </c>
      <c r="H35" s="26" t="s">
        <v>180</v>
      </c>
      <c r="I35" s="26" t="s">
        <v>179</v>
      </c>
      <c r="J35" s="6" cm="1">
        <f t="array" ref="J35">MIN(VALUE(G35:I35))</f>
        <v>0.97589999999999999</v>
      </c>
      <c r="K35" s="26" t="s">
        <v>14</v>
      </c>
      <c r="L35" s="26" t="s">
        <v>181</v>
      </c>
      <c r="M35" s="26" t="s">
        <v>178</v>
      </c>
      <c r="N35" s="26" t="s">
        <v>41</v>
      </c>
      <c r="O35" s="6" cm="1">
        <f t="array" ref="O35">MIN(VALUE(L35:N35))</f>
        <v>0.9879</v>
      </c>
      <c r="P35" s="26" t="s">
        <v>182</v>
      </c>
      <c r="Q35" s="26" t="s">
        <v>10</v>
      </c>
      <c r="R35" s="26" t="s">
        <v>183</v>
      </c>
      <c r="S35" s="26" t="s">
        <v>10</v>
      </c>
      <c r="T35" s="26" t="s">
        <v>184</v>
      </c>
      <c r="U35" s="6" cm="1">
        <f t="array" ref="U35">MIN(VALUE(Q35:S35))</f>
        <v>0.98950000000000005</v>
      </c>
      <c r="V35" s="31"/>
      <c r="W35" s="31"/>
      <c r="X35" s="31"/>
      <c r="Y35" s="31"/>
      <c r="Z35" s="31"/>
      <c r="AA35" s="31"/>
      <c r="AB35" s="31"/>
      <c r="AC35" s="31"/>
      <c r="AD35" s="31"/>
      <c r="AE35" s="31"/>
    </row>
    <row r="36" spans="1:31" x14ac:dyDescent="0.35">
      <c r="A36" s="2" t="s">
        <v>185</v>
      </c>
      <c r="B36" s="3" t="s">
        <v>10</v>
      </c>
      <c r="C36" s="3" t="s">
        <v>10</v>
      </c>
      <c r="D36" s="3" t="s">
        <v>10</v>
      </c>
      <c r="E36" s="6" cm="1">
        <f t="array" ref="E36">MIN(VALUE(B36:D36))</f>
        <v>1</v>
      </c>
      <c r="F36" s="4" t="s">
        <v>10</v>
      </c>
      <c r="G36" s="3" t="s">
        <v>10</v>
      </c>
      <c r="H36" s="3" t="s">
        <v>10</v>
      </c>
      <c r="I36" s="3" t="s">
        <v>10</v>
      </c>
      <c r="J36" s="6" cm="1">
        <f t="array" ref="J36">MIN(VALUE(G36:I36))</f>
        <v>1</v>
      </c>
      <c r="K36" s="4" t="s">
        <v>10</v>
      </c>
      <c r="L36" s="3" t="s">
        <v>10</v>
      </c>
      <c r="M36" s="3" t="s">
        <v>10</v>
      </c>
      <c r="N36" s="3" t="s">
        <v>10</v>
      </c>
      <c r="O36" s="6" cm="1">
        <f t="array" ref="O36">MIN(VALUE(L36:N36))</f>
        <v>1</v>
      </c>
      <c r="P36" s="4" t="s">
        <v>10</v>
      </c>
      <c r="Q36" s="3" t="s">
        <v>10</v>
      </c>
      <c r="R36" s="3" t="s">
        <v>30</v>
      </c>
      <c r="S36" s="3" t="s">
        <v>10</v>
      </c>
      <c r="T36" s="27">
        <v>1</v>
      </c>
      <c r="U36" s="6" cm="1">
        <f t="array" ref="U36">MIN(VALUE(Q36:S36))</f>
        <v>0.99590000000000001</v>
      </c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</sheetData>
  <mergeCells count="6">
    <mergeCell ref="A1:A2"/>
    <mergeCell ref="V1:AE1"/>
    <mergeCell ref="B1:F1"/>
    <mergeCell ref="G1:K1"/>
    <mergeCell ref="Q1:T1"/>
    <mergeCell ref="L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Parameters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Khraiwesh, Samira</cp:lastModifiedBy>
  <dcterms:created xsi:type="dcterms:W3CDTF">2026-05-07T12:58:16Z</dcterms:created>
  <dcterms:modified xsi:type="dcterms:W3CDTF">2026-05-22T13:53:12Z</dcterms:modified>
</cp:coreProperties>
</file>